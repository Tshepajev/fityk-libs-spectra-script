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fityk-libs-spectra-script\Examples\656nm with separate background\"/>
    </mc:Choice>
  </mc:AlternateContent>
  <xr:revisionPtr revIDLastSave="0" documentId="13_ncr:1_{72589D81-A550-4DA6-94F7-2FD0F851892F}" xr6:coauthVersionLast="47" xr6:coauthVersionMax="47" xr10:uidLastSave="{00000000-0000-0000-0000-000000000000}"/>
  <bookViews>
    <workbookView xWindow="-120" yWindow="-120" windowWidth="29040" windowHeight="15840" activeTab="1" xr2:uid="{4FFDA2AF-1D06-44C8-9AC2-8B4BCD4BED21}"/>
  </bookViews>
  <sheets>
    <sheet name="Line finding" sheetId="21" r:id="rId1"/>
    <sheet name="Output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7" l="1"/>
  <c r="B3" i="17"/>
  <c r="C3" i="17"/>
  <c r="D3" i="17"/>
  <c r="E3" i="17"/>
  <c r="F3" i="17"/>
  <c r="G3" i="17"/>
  <c r="H3" i="17"/>
  <c r="I3" i="17"/>
  <c r="A4" i="17"/>
  <c r="B4" i="17"/>
  <c r="C4" i="17"/>
  <c r="D4" i="17"/>
  <c r="E4" i="17"/>
  <c r="F4" i="17"/>
  <c r="G4" i="17"/>
  <c r="H4" i="17"/>
  <c r="I4" i="17"/>
  <c r="A5" i="17"/>
  <c r="B5" i="17"/>
  <c r="C5" i="17"/>
  <c r="D5" i="17"/>
  <c r="E5" i="17"/>
  <c r="F5" i="17"/>
  <c r="G5" i="17"/>
  <c r="H5" i="17"/>
  <c r="I5" i="17"/>
  <c r="A6" i="17"/>
  <c r="B6" i="17"/>
  <c r="C6" i="17"/>
  <c r="D6" i="17"/>
  <c r="E6" i="17"/>
  <c r="F6" i="17"/>
  <c r="G6" i="17"/>
  <c r="H6" i="17"/>
  <c r="I6" i="17"/>
  <c r="A7" i="17"/>
  <c r="B7" i="17"/>
  <c r="C7" i="17"/>
  <c r="D7" i="17"/>
  <c r="E7" i="17"/>
  <c r="F7" i="17"/>
  <c r="G7" i="17"/>
  <c r="H7" i="17"/>
  <c r="I7" i="17"/>
  <c r="A8" i="17"/>
  <c r="B8" i="17"/>
  <c r="C8" i="17"/>
  <c r="D8" i="17"/>
  <c r="E8" i="17"/>
  <c r="F8" i="17"/>
  <c r="G8" i="17"/>
  <c r="H8" i="17"/>
  <c r="I8" i="17"/>
  <c r="A9" i="17"/>
  <c r="B9" i="17"/>
  <c r="C9" i="17"/>
  <c r="D9" i="17"/>
  <c r="E9" i="17"/>
  <c r="F9" i="17"/>
  <c r="G9" i="17"/>
  <c r="H9" i="17"/>
  <c r="I9" i="17"/>
  <c r="A10" i="17"/>
  <c r="B10" i="17"/>
  <c r="C10" i="17"/>
  <c r="D10" i="17"/>
  <c r="E10" i="17"/>
  <c r="F10" i="17"/>
  <c r="G10" i="17"/>
  <c r="H10" i="17"/>
  <c r="I10" i="17"/>
  <c r="A11" i="17"/>
  <c r="B11" i="17"/>
  <c r="C11" i="17"/>
  <c r="D11" i="17"/>
  <c r="E11" i="17"/>
  <c r="F11" i="17"/>
  <c r="G11" i="17"/>
  <c r="H11" i="17"/>
  <c r="I11" i="17"/>
  <c r="A12" i="17"/>
  <c r="B12" i="17"/>
  <c r="C12" i="17"/>
  <c r="D12" i="17"/>
  <c r="E12" i="17"/>
  <c r="F12" i="17"/>
  <c r="G12" i="17"/>
  <c r="H12" i="17"/>
  <c r="I12" i="17"/>
  <c r="A13" i="17"/>
  <c r="B13" i="17"/>
  <c r="C13" i="17"/>
  <c r="D13" i="17"/>
  <c r="E13" i="17"/>
  <c r="F13" i="17"/>
  <c r="G13" i="17"/>
  <c r="H13" i="17"/>
  <c r="I13" i="17"/>
  <c r="A14" i="17"/>
  <c r="B14" i="17"/>
  <c r="C14" i="17"/>
  <c r="D14" i="17"/>
  <c r="E14" i="17"/>
  <c r="F14" i="17"/>
  <c r="G14" i="17"/>
  <c r="H14" i="17"/>
  <c r="I14" i="17"/>
  <c r="A15" i="17"/>
  <c r="B15" i="17"/>
  <c r="C15" i="17"/>
  <c r="D15" i="17"/>
  <c r="E15" i="17"/>
  <c r="F15" i="17"/>
  <c r="G15" i="17"/>
  <c r="H15" i="17"/>
  <c r="I15" i="17"/>
  <c r="A16" i="17"/>
  <c r="B16" i="17"/>
  <c r="C16" i="17"/>
  <c r="D16" i="17"/>
  <c r="E16" i="17"/>
  <c r="F16" i="17"/>
  <c r="G16" i="17"/>
  <c r="H16" i="17"/>
  <c r="I16" i="17"/>
  <c r="A17" i="17"/>
  <c r="B17" i="17"/>
  <c r="C17" i="17"/>
  <c r="D17" i="17"/>
  <c r="E17" i="17"/>
  <c r="F17" i="17"/>
  <c r="G17" i="17"/>
  <c r="H17" i="17"/>
  <c r="I17" i="17"/>
  <c r="A18" i="17"/>
  <c r="B18" i="17"/>
  <c r="C18" i="17"/>
  <c r="D18" i="17"/>
  <c r="E18" i="17"/>
  <c r="F18" i="17"/>
  <c r="G18" i="17"/>
  <c r="H18" i="17"/>
  <c r="I18" i="17"/>
  <c r="A19" i="17"/>
  <c r="B19" i="17"/>
  <c r="C19" i="17"/>
  <c r="D19" i="17"/>
  <c r="E19" i="17"/>
  <c r="F19" i="17"/>
  <c r="G19" i="17"/>
  <c r="H19" i="17"/>
  <c r="I19" i="17"/>
  <c r="A20" i="17"/>
  <c r="B20" i="17"/>
  <c r="C20" i="17"/>
  <c r="D20" i="17"/>
  <c r="E20" i="17"/>
  <c r="F20" i="17"/>
  <c r="G20" i="17"/>
  <c r="H20" i="17"/>
  <c r="I20" i="17"/>
  <c r="A21" i="17"/>
  <c r="B21" i="17"/>
  <c r="C21" i="17"/>
  <c r="D21" i="17"/>
  <c r="E21" i="17"/>
  <c r="F21" i="17"/>
  <c r="G21" i="17"/>
  <c r="H21" i="17"/>
  <c r="I21" i="17"/>
  <c r="A22" i="17"/>
  <c r="B22" i="17"/>
  <c r="C22" i="17"/>
  <c r="D22" i="17"/>
  <c r="E22" i="17"/>
  <c r="F22" i="17"/>
  <c r="G22" i="17"/>
  <c r="H22" i="17"/>
  <c r="I22" i="17"/>
  <c r="A23" i="17"/>
  <c r="B23" i="17"/>
  <c r="C23" i="17"/>
  <c r="D23" i="17"/>
  <c r="E23" i="17"/>
  <c r="F23" i="17"/>
  <c r="G23" i="17"/>
  <c r="H23" i="17"/>
  <c r="I23" i="17"/>
  <c r="A24" i="17"/>
  <c r="B24" i="17"/>
  <c r="C24" i="17"/>
  <c r="D24" i="17"/>
  <c r="E24" i="17"/>
  <c r="F24" i="17"/>
  <c r="G24" i="17"/>
  <c r="H24" i="17"/>
  <c r="I24" i="17"/>
  <c r="A25" i="17"/>
  <c r="B25" i="17"/>
  <c r="C25" i="17"/>
  <c r="D25" i="17"/>
  <c r="E25" i="17"/>
  <c r="F25" i="17"/>
  <c r="G25" i="17"/>
  <c r="H25" i="17"/>
  <c r="I25" i="17"/>
  <c r="A26" i="17"/>
  <c r="B26" i="17"/>
  <c r="C26" i="17"/>
  <c r="D26" i="17"/>
  <c r="E26" i="17"/>
  <c r="F26" i="17"/>
  <c r="G26" i="17"/>
  <c r="H26" i="17"/>
  <c r="I26" i="17"/>
  <c r="A27" i="17"/>
  <c r="B27" i="17"/>
  <c r="C27" i="17"/>
  <c r="D27" i="17"/>
  <c r="E27" i="17"/>
  <c r="F27" i="17"/>
  <c r="G27" i="17"/>
  <c r="H27" i="17"/>
  <c r="I27" i="17"/>
  <c r="A28" i="17"/>
  <c r="B28" i="17"/>
  <c r="C28" i="17"/>
  <c r="D28" i="17"/>
  <c r="E28" i="17"/>
  <c r="F28" i="17"/>
  <c r="G28" i="17"/>
  <c r="H28" i="17"/>
  <c r="I28" i="17"/>
  <c r="A29" i="17"/>
  <c r="B29" i="17"/>
  <c r="C29" i="17"/>
  <c r="D29" i="17"/>
  <c r="E29" i="17"/>
  <c r="F29" i="17"/>
  <c r="G29" i="17"/>
  <c r="H29" i="17"/>
  <c r="I29" i="17"/>
  <c r="A30" i="17"/>
  <c r="B30" i="17"/>
  <c r="C30" i="17"/>
  <c r="D30" i="17"/>
  <c r="E30" i="17"/>
  <c r="F30" i="17"/>
  <c r="G30" i="17"/>
  <c r="H30" i="17"/>
  <c r="I30" i="17"/>
  <c r="A31" i="17"/>
  <c r="B31" i="17"/>
  <c r="C31" i="17"/>
  <c r="D31" i="17"/>
  <c r="E31" i="17"/>
  <c r="F31" i="17"/>
  <c r="G31" i="17"/>
  <c r="H31" i="17"/>
  <c r="I31" i="17"/>
  <c r="A32" i="17"/>
  <c r="B32" i="17"/>
  <c r="C32" i="17"/>
  <c r="D32" i="17"/>
  <c r="E32" i="17"/>
  <c r="F32" i="17"/>
  <c r="G32" i="17"/>
  <c r="H32" i="17"/>
  <c r="I32" i="17"/>
  <c r="A33" i="17"/>
  <c r="B33" i="17"/>
  <c r="C33" i="17"/>
  <c r="D33" i="17"/>
  <c r="E33" i="17"/>
  <c r="F33" i="17"/>
  <c r="G33" i="17"/>
  <c r="H33" i="17"/>
  <c r="I33" i="17"/>
  <c r="A34" i="17"/>
  <c r="B34" i="17"/>
  <c r="C34" i="17"/>
  <c r="D34" i="17"/>
  <c r="E34" i="17"/>
  <c r="F34" i="17"/>
  <c r="G34" i="17"/>
  <c r="H34" i="17"/>
  <c r="I34" i="17"/>
  <c r="A35" i="17"/>
  <c r="B35" i="17"/>
  <c r="C35" i="17"/>
  <c r="D35" i="17"/>
  <c r="E35" i="17"/>
  <c r="F35" i="17"/>
  <c r="G35" i="17"/>
  <c r="H35" i="17"/>
  <c r="I35" i="17"/>
  <c r="A36" i="17"/>
  <c r="B36" i="17"/>
  <c r="C36" i="17"/>
  <c r="D36" i="17"/>
  <c r="E36" i="17"/>
  <c r="F36" i="17"/>
  <c r="G36" i="17"/>
  <c r="H36" i="17"/>
  <c r="I36" i="17"/>
  <c r="A37" i="17"/>
  <c r="B37" i="17"/>
  <c r="C37" i="17"/>
  <c r="D37" i="17"/>
  <c r="E37" i="17"/>
  <c r="F37" i="17"/>
  <c r="G37" i="17"/>
  <c r="H37" i="17"/>
  <c r="I37" i="17"/>
  <c r="A38" i="17"/>
  <c r="B38" i="17"/>
  <c r="C38" i="17"/>
  <c r="D38" i="17"/>
  <c r="E38" i="17"/>
  <c r="F38" i="17"/>
  <c r="G38" i="17"/>
  <c r="H38" i="17"/>
  <c r="I38" i="17"/>
  <c r="A39" i="17"/>
  <c r="B39" i="17"/>
  <c r="C39" i="17"/>
  <c r="D39" i="17"/>
  <c r="E39" i="17"/>
  <c r="F39" i="17"/>
  <c r="G39" i="17"/>
  <c r="H39" i="17"/>
  <c r="I39" i="17"/>
  <c r="A40" i="17"/>
  <c r="B40" i="17"/>
  <c r="C40" i="17"/>
  <c r="D40" i="17"/>
  <c r="E40" i="17"/>
  <c r="F40" i="17"/>
  <c r="G40" i="17"/>
  <c r="H40" i="17"/>
  <c r="I40" i="17"/>
  <c r="A41" i="17"/>
  <c r="B41" i="17"/>
  <c r="C41" i="17"/>
  <c r="D41" i="17"/>
  <c r="E41" i="17"/>
  <c r="F41" i="17"/>
  <c r="G41" i="17"/>
  <c r="H41" i="17"/>
  <c r="I41" i="17"/>
  <c r="A42" i="17"/>
  <c r="B42" i="17"/>
  <c r="C42" i="17"/>
  <c r="D42" i="17"/>
  <c r="E42" i="17"/>
  <c r="F42" i="17"/>
  <c r="G42" i="17"/>
  <c r="H42" i="17"/>
  <c r="I42" i="17"/>
  <c r="A43" i="17"/>
  <c r="B43" i="17"/>
  <c r="C43" i="17"/>
  <c r="D43" i="17"/>
  <c r="E43" i="17"/>
  <c r="F43" i="17"/>
  <c r="G43" i="17"/>
  <c r="H43" i="17"/>
  <c r="I43" i="17"/>
  <c r="A44" i="17"/>
  <c r="B44" i="17"/>
  <c r="C44" i="17"/>
  <c r="D44" i="17"/>
  <c r="E44" i="17"/>
  <c r="F44" i="17"/>
  <c r="G44" i="17"/>
  <c r="H44" i="17"/>
  <c r="I44" i="17"/>
  <c r="A45" i="17"/>
  <c r="B45" i="17"/>
  <c r="C45" i="17"/>
  <c r="D45" i="17"/>
  <c r="E45" i="17"/>
  <c r="F45" i="17"/>
  <c r="G45" i="17"/>
  <c r="H45" i="17"/>
  <c r="I45" i="17"/>
  <c r="A46" i="17"/>
  <c r="B46" i="17"/>
  <c r="C46" i="17"/>
  <c r="D46" i="17"/>
  <c r="E46" i="17"/>
  <c r="F46" i="17"/>
  <c r="G46" i="17"/>
  <c r="H46" i="17"/>
  <c r="I46" i="17"/>
  <c r="A47" i="17"/>
  <c r="B47" i="17"/>
  <c r="C47" i="17"/>
  <c r="D47" i="17"/>
  <c r="E47" i="17"/>
  <c r="F47" i="17"/>
  <c r="G47" i="17"/>
  <c r="H47" i="17"/>
  <c r="I47" i="17"/>
  <c r="A48" i="17"/>
  <c r="B48" i="17"/>
  <c r="C48" i="17"/>
  <c r="D48" i="17"/>
  <c r="E48" i="17"/>
  <c r="F48" i="17"/>
  <c r="G48" i="17"/>
  <c r="H48" i="17"/>
  <c r="I48" i="17"/>
  <c r="A49" i="17"/>
  <c r="B49" i="17"/>
  <c r="C49" i="17"/>
  <c r="D49" i="17"/>
  <c r="E49" i="17"/>
  <c r="F49" i="17"/>
  <c r="G49" i="17"/>
  <c r="H49" i="17"/>
  <c r="I49" i="17"/>
  <c r="A50" i="17"/>
  <c r="B50" i="17"/>
  <c r="C50" i="17"/>
  <c r="D50" i="17"/>
  <c r="E50" i="17"/>
  <c r="F50" i="17"/>
  <c r="G50" i="17"/>
  <c r="H50" i="17"/>
  <c r="I50" i="17"/>
  <c r="A51" i="17"/>
  <c r="B51" i="17"/>
  <c r="C51" i="17"/>
  <c r="D51" i="17"/>
  <c r="E51" i="17"/>
  <c r="F51" i="17"/>
  <c r="G51" i="17"/>
  <c r="H51" i="17"/>
  <c r="I51" i="17"/>
  <c r="A52" i="17"/>
  <c r="B52" i="17"/>
  <c r="C52" i="17"/>
  <c r="D52" i="17"/>
  <c r="E52" i="17"/>
  <c r="F52" i="17"/>
  <c r="G52" i="17"/>
  <c r="H52" i="17"/>
  <c r="I52" i="17"/>
  <c r="A53" i="17"/>
  <c r="B53" i="17"/>
  <c r="C53" i="17"/>
  <c r="D53" i="17"/>
  <c r="E53" i="17"/>
  <c r="F53" i="17"/>
  <c r="G53" i="17"/>
  <c r="H53" i="17"/>
  <c r="I53" i="17"/>
  <c r="A54" i="17"/>
  <c r="B54" i="17"/>
  <c r="C54" i="17"/>
  <c r="D54" i="17"/>
  <c r="E54" i="17"/>
  <c r="F54" i="17"/>
  <c r="G54" i="17"/>
  <c r="H54" i="17"/>
  <c r="I54" i="17"/>
  <c r="A55" i="17"/>
  <c r="B55" i="17"/>
  <c r="C55" i="17"/>
  <c r="D55" i="17"/>
  <c r="E55" i="17"/>
  <c r="F55" i="17"/>
  <c r="G55" i="17"/>
  <c r="H55" i="17"/>
  <c r="I55" i="17"/>
  <c r="A56" i="17"/>
  <c r="B56" i="17"/>
  <c r="C56" i="17"/>
  <c r="D56" i="17"/>
  <c r="E56" i="17"/>
  <c r="F56" i="17"/>
  <c r="G56" i="17"/>
  <c r="H56" i="17"/>
  <c r="I56" i="17"/>
  <c r="A57" i="17"/>
  <c r="B57" i="17"/>
  <c r="C57" i="17"/>
  <c r="D57" i="17"/>
  <c r="E57" i="17"/>
  <c r="F57" i="17"/>
  <c r="G57" i="17"/>
  <c r="H57" i="17"/>
  <c r="I57" i="17"/>
  <c r="A58" i="17"/>
  <c r="B58" i="17"/>
  <c r="C58" i="17"/>
  <c r="D58" i="17"/>
  <c r="E58" i="17"/>
  <c r="F58" i="17"/>
  <c r="G58" i="17"/>
  <c r="H58" i="17"/>
  <c r="I58" i="17"/>
  <c r="A59" i="17"/>
  <c r="B59" i="17"/>
  <c r="C59" i="17"/>
  <c r="D59" i="17"/>
  <c r="E59" i="17"/>
  <c r="F59" i="17"/>
  <c r="G59" i="17"/>
  <c r="H59" i="17"/>
  <c r="I59" i="17"/>
  <c r="A60" i="17"/>
  <c r="B60" i="17"/>
  <c r="C60" i="17"/>
  <c r="D60" i="17"/>
  <c r="E60" i="17"/>
  <c r="F60" i="17"/>
  <c r="G60" i="17"/>
  <c r="H60" i="17"/>
  <c r="I60" i="17"/>
  <c r="A61" i="17"/>
  <c r="B61" i="17"/>
  <c r="C61" i="17"/>
  <c r="D61" i="17"/>
  <c r="E61" i="17"/>
  <c r="F61" i="17"/>
  <c r="G61" i="17"/>
  <c r="H61" i="17"/>
  <c r="I61" i="17"/>
  <c r="A62" i="17"/>
  <c r="B62" i="17"/>
  <c r="C62" i="17"/>
  <c r="D62" i="17"/>
  <c r="E62" i="17"/>
  <c r="F62" i="17"/>
  <c r="G62" i="17"/>
  <c r="H62" i="17"/>
  <c r="I62" i="17"/>
  <c r="A63" i="17"/>
  <c r="B63" i="17"/>
  <c r="C63" i="17"/>
  <c r="D63" i="17"/>
  <c r="E63" i="17"/>
  <c r="F63" i="17"/>
  <c r="G63" i="17"/>
  <c r="H63" i="17"/>
  <c r="I63" i="17"/>
  <c r="A64" i="17"/>
  <c r="B64" i="17"/>
  <c r="C64" i="17"/>
  <c r="D64" i="17"/>
  <c r="E64" i="17"/>
  <c r="F64" i="17"/>
  <c r="G64" i="17"/>
  <c r="H64" i="17"/>
  <c r="I64" i="17"/>
  <c r="A65" i="17"/>
  <c r="B65" i="17"/>
  <c r="C65" i="17"/>
  <c r="D65" i="17"/>
  <c r="E65" i="17"/>
  <c r="F65" i="17"/>
  <c r="G65" i="17"/>
  <c r="H65" i="17"/>
  <c r="I65" i="17"/>
  <c r="A66" i="17"/>
  <c r="B66" i="17"/>
  <c r="C66" i="17"/>
  <c r="D66" i="17"/>
  <c r="E66" i="17"/>
  <c r="F66" i="17"/>
  <c r="G66" i="17"/>
  <c r="H66" i="17"/>
  <c r="I66" i="17"/>
  <c r="A67" i="17"/>
  <c r="B67" i="17"/>
  <c r="C67" i="17"/>
  <c r="D67" i="17"/>
  <c r="E67" i="17"/>
  <c r="F67" i="17"/>
  <c r="G67" i="17"/>
  <c r="H67" i="17"/>
  <c r="I67" i="17"/>
  <c r="A68" i="17"/>
  <c r="B68" i="17"/>
  <c r="C68" i="17"/>
  <c r="D68" i="17"/>
  <c r="E68" i="17"/>
  <c r="F68" i="17"/>
  <c r="G68" i="17"/>
  <c r="H68" i="17"/>
  <c r="I68" i="17"/>
  <c r="A69" i="17"/>
  <c r="B69" i="17"/>
  <c r="C69" i="17"/>
  <c r="D69" i="17"/>
  <c r="E69" i="17"/>
  <c r="F69" i="17"/>
  <c r="G69" i="17"/>
  <c r="H69" i="17"/>
  <c r="I69" i="17"/>
  <c r="A70" i="17"/>
  <c r="B70" i="17"/>
  <c r="C70" i="17"/>
  <c r="D70" i="17"/>
  <c r="E70" i="17"/>
  <c r="F70" i="17"/>
  <c r="G70" i="17"/>
  <c r="H70" i="17"/>
  <c r="I70" i="17"/>
  <c r="A71" i="17"/>
  <c r="B71" i="17"/>
  <c r="C71" i="17"/>
  <c r="D71" i="17"/>
  <c r="E71" i="17"/>
  <c r="F71" i="17"/>
  <c r="G71" i="17"/>
  <c r="H71" i="17"/>
  <c r="I71" i="17"/>
  <c r="A72" i="17"/>
  <c r="B72" i="17"/>
  <c r="C72" i="17"/>
  <c r="D72" i="17"/>
  <c r="E72" i="17"/>
  <c r="F72" i="17"/>
  <c r="G72" i="17"/>
  <c r="H72" i="17"/>
  <c r="I72" i="17"/>
  <c r="A73" i="17"/>
  <c r="B73" i="17"/>
  <c r="C73" i="17"/>
  <c r="D73" i="17"/>
  <c r="E73" i="17"/>
  <c r="F73" i="17"/>
  <c r="G73" i="17"/>
  <c r="H73" i="17"/>
  <c r="I73" i="17"/>
  <c r="A74" i="17"/>
  <c r="B74" i="17"/>
  <c r="C74" i="17"/>
  <c r="D74" i="17"/>
  <c r="E74" i="17"/>
  <c r="F74" i="17"/>
  <c r="G74" i="17"/>
  <c r="H74" i="17"/>
  <c r="I74" i="17"/>
  <c r="A75" i="17"/>
  <c r="B75" i="17"/>
  <c r="C75" i="17"/>
  <c r="D75" i="17"/>
  <c r="E75" i="17"/>
  <c r="F75" i="17"/>
  <c r="G75" i="17"/>
  <c r="H75" i="17"/>
  <c r="I75" i="17"/>
  <c r="A76" i="17"/>
  <c r="B76" i="17"/>
  <c r="C76" i="17"/>
  <c r="D76" i="17"/>
  <c r="E76" i="17"/>
  <c r="F76" i="17"/>
  <c r="G76" i="17"/>
  <c r="H76" i="17"/>
  <c r="I76" i="17"/>
  <c r="A77" i="17"/>
  <c r="B77" i="17"/>
  <c r="C77" i="17"/>
  <c r="D77" i="17"/>
  <c r="E77" i="17"/>
  <c r="F77" i="17"/>
  <c r="G77" i="17"/>
  <c r="H77" i="17"/>
  <c r="I77" i="17"/>
  <c r="A78" i="17"/>
  <c r="B78" i="17"/>
  <c r="C78" i="17"/>
  <c r="D78" i="17"/>
  <c r="E78" i="17"/>
  <c r="F78" i="17"/>
  <c r="G78" i="17"/>
  <c r="H78" i="17"/>
  <c r="I78" i="17"/>
  <c r="A79" i="17"/>
  <c r="B79" i="17"/>
  <c r="C79" i="17"/>
  <c r="D79" i="17"/>
  <c r="E79" i="17"/>
  <c r="F79" i="17"/>
  <c r="G79" i="17"/>
  <c r="H79" i="17"/>
  <c r="I79" i="17"/>
  <c r="A80" i="17"/>
  <c r="B80" i="17"/>
  <c r="C80" i="17"/>
  <c r="D80" i="17"/>
  <c r="E80" i="17"/>
  <c r="F80" i="17"/>
  <c r="G80" i="17"/>
  <c r="H80" i="17"/>
  <c r="I80" i="17"/>
  <c r="A81" i="17"/>
  <c r="B81" i="17"/>
  <c r="C81" i="17"/>
  <c r="D81" i="17"/>
  <c r="E81" i="17"/>
  <c r="F81" i="17"/>
  <c r="G81" i="17"/>
  <c r="H81" i="17"/>
  <c r="I81" i="17"/>
  <c r="A82" i="17"/>
  <c r="B82" i="17"/>
  <c r="C82" i="17"/>
  <c r="D82" i="17"/>
  <c r="E82" i="17"/>
  <c r="F82" i="17"/>
  <c r="G82" i="17"/>
  <c r="H82" i="17"/>
  <c r="I82" i="17"/>
  <c r="A83" i="17"/>
  <c r="B83" i="17"/>
  <c r="C83" i="17"/>
  <c r="D83" i="17"/>
  <c r="E83" i="17"/>
  <c r="F83" i="17"/>
  <c r="G83" i="17"/>
  <c r="H83" i="17"/>
  <c r="I83" i="17"/>
  <c r="A84" i="17"/>
  <c r="B84" i="17"/>
  <c r="C84" i="17"/>
  <c r="D84" i="17"/>
  <c r="E84" i="17"/>
  <c r="F84" i="17"/>
  <c r="G84" i="17"/>
  <c r="H84" i="17"/>
  <c r="I84" i="17"/>
  <c r="A85" i="17"/>
  <c r="B85" i="17"/>
  <c r="C85" i="17"/>
  <c r="D85" i="17"/>
  <c r="E85" i="17"/>
  <c r="F85" i="17"/>
  <c r="G85" i="17"/>
  <c r="H85" i="17"/>
  <c r="I85" i="17"/>
  <c r="A86" i="17"/>
  <c r="B86" i="17"/>
  <c r="C86" i="17"/>
  <c r="D86" i="17"/>
  <c r="E86" i="17"/>
  <c r="F86" i="17"/>
  <c r="G86" i="17"/>
  <c r="H86" i="17"/>
  <c r="I86" i="17"/>
  <c r="A87" i="17"/>
  <c r="B87" i="17"/>
  <c r="C87" i="17"/>
  <c r="D87" i="17"/>
  <c r="E87" i="17"/>
  <c r="F87" i="17"/>
  <c r="G87" i="17"/>
  <c r="H87" i="17"/>
  <c r="I87" i="17"/>
  <c r="A88" i="17"/>
  <c r="B88" i="17"/>
  <c r="C88" i="17"/>
  <c r="D88" i="17"/>
  <c r="E88" i="17"/>
  <c r="F88" i="17"/>
  <c r="G88" i="17"/>
  <c r="H88" i="17"/>
  <c r="I88" i="17"/>
  <c r="A89" i="17"/>
  <c r="B89" i="17"/>
  <c r="C89" i="17"/>
  <c r="D89" i="17"/>
  <c r="E89" i="17"/>
  <c r="F89" i="17"/>
  <c r="G89" i="17"/>
  <c r="H89" i="17"/>
  <c r="I89" i="17"/>
  <c r="A90" i="17"/>
  <c r="B90" i="17"/>
  <c r="C90" i="17"/>
  <c r="D90" i="17"/>
  <c r="E90" i="17"/>
  <c r="F90" i="17"/>
  <c r="G90" i="17"/>
  <c r="H90" i="17"/>
  <c r="I90" i="17"/>
  <c r="A91" i="17"/>
  <c r="B91" i="17"/>
  <c r="C91" i="17"/>
  <c r="D91" i="17"/>
  <c r="E91" i="17"/>
  <c r="F91" i="17"/>
  <c r="G91" i="17"/>
  <c r="H91" i="17"/>
  <c r="I91" i="17"/>
  <c r="A92" i="17"/>
  <c r="B92" i="17"/>
  <c r="C92" i="17"/>
  <c r="D92" i="17"/>
  <c r="E92" i="17"/>
  <c r="F92" i="17"/>
  <c r="G92" i="17"/>
  <c r="H92" i="17"/>
  <c r="I92" i="17"/>
  <c r="A93" i="17"/>
  <c r="B93" i="17"/>
  <c r="C93" i="17"/>
  <c r="D93" i="17"/>
  <c r="E93" i="17"/>
  <c r="F93" i="17"/>
  <c r="G93" i="17"/>
  <c r="H93" i="17"/>
  <c r="I93" i="17"/>
  <c r="A94" i="17"/>
  <c r="B94" i="17"/>
  <c r="C94" i="17"/>
  <c r="D94" i="17"/>
  <c r="E94" i="17"/>
  <c r="F94" i="17"/>
  <c r="G94" i="17"/>
  <c r="H94" i="17"/>
  <c r="I94" i="17"/>
  <c r="A95" i="17"/>
  <c r="B95" i="17"/>
  <c r="C95" i="17"/>
  <c r="D95" i="17"/>
  <c r="E95" i="17"/>
  <c r="F95" i="17"/>
  <c r="G95" i="17"/>
  <c r="H95" i="17"/>
  <c r="I95" i="17"/>
  <c r="A96" i="17"/>
  <c r="B96" i="17"/>
  <c r="C96" i="17"/>
  <c r="D96" i="17"/>
  <c r="E96" i="17"/>
  <c r="F96" i="17"/>
  <c r="G96" i="17"/>
  <c r="H96" i="17"/>
  <c r="I96" i="17"/>
  <c r="A97" i="17"/>
  <c r="B97" i="17"/>
  <c r="C97" i="17"/>
  <c r="D97" i="17"/>
  <c r="E97" i="17"/>
  <c r="F97" i="17"/>
  <c r="G97" i="17"/>
  <c r="H97" i="17"/>
  <c r="I97" i="17"/>
  <c r="A98" i="17"/>
  <c r="B98" i="17"/>
  <c r="C98" i="17"/>
  <c r="D98" i="17"/>
  <c r="E98" i="17"/>
  <c r="F98" i="17"/>
  <c r="G98" i="17"/>
  <c r="H98" i="17"/>
  <c r="I98" i="17"/>
  <c r="A99" i="17"/>
  <c r="B99" i="17"/>
  <c r="C99" i="17"/>
  <c r="D99" i="17"/>
  <c r="E99" i="17"/>
  <c r="F99" i="17"/>
  <c r="G99" i="17"/>
  <c r="H99" i="17"/>
  <c r="I99" i="17"/>
  <c r="B6" i="21"/>
  <c r="B2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3" i="21"/>
  <c r="B4" i="21"/>
  <c r="B5" i="21"/>
  <c r="C2" i="17" l="1"/>
  <c r="F2" i="17"/>
  <c r="B2" i="17"/>
  <c r="I2" i="17"/>
  <c r="E2" i="17"/>
  <c r="H2" i="17"/>
  <c r="D2" i="17"/>
  <c r="A2" i="17"/>
  <c r="G2" i="17"/>
</calcChain>
</file>

<file path=xl/sharedStrings.xml><?xml version="1.0" encoding="utf-8"?>
<sst xmlns="http://schemas.openxmlformats.org/spreadsheetml/2006/main" count="135" uniqueCount="23">
  <si>
    <t>Wavelength (m)</t>
  </si>
  <si>
    <t>To fit (1/0)</t>
  </si>
  <si>
    <t>Fit priority (1 is first)</t>
  </si>
  <si>
    <t>Max position shift (m)</t>
  </si>
  <si>
    <t>D</t>
  </si>
  <si>
    <t>H</t>
  </si>
  <si>
    <t>Mo1</t>
  </si>
  <si>
    <t>W1</t>
  </si>
  <si>
    <t>Max line fwhm (m)</t>
  </si>
  <si>
    <t>VoigtFWHM</t>
  </si>
  <si>
    <t>VoigtApparatus</t>
  </si>
  <si>
    <t>Identificator</t>
  </si>
  <si>
    <t>Max influence radius (m)</t>
  </si>
  <si>
    <t>Linked variables</t>
  </si>
  <si>
    <t>Function to fit</t>
  </si>
  <si>
    <t>Line name</t>
  </si>
  <si>
    <t>Wavelength (nm)</t>
  </si>
  <si>
    <t>shape = $Mo1_width_var</t>
  </si>
  <si>
    <t>$W1_width_var = $apparatus + (1.25e-10 - $apparatus) / 2 * sin(~1.5); shape = $W1_width_var</t>
  </si>
  <si>
    <t>shape = $W1_width_var</t>
  </si>
  <si>
    <t>center = %D_656101.center + 0.179e-9; fwhm = %D_656101.fwhm; shape = %D_656101.shape</t>
  </si>
  <si>
    <t>$apparatus = 0.0467081e-9; $Mo1_width_var = $apparatus + (1.25e-10 - $apparatus) / 2 * sin(~1.5); shape = $Mo1_width_var</t>
  </si>
  <si>
    <t>Mo_unknown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</si>
</sst>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1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7424-2366-4213-B782-B13FF618C48D}">
  <dimension ref="A1:J98"/>
  <sheetViews>
    <sheetView workbookViewId="0"/>
  </sheetViews>
  <sheetFormatPr defaultRowHeight="15" x14ac:dyDescent="0.25"/>
  <cols>
    <col min="1" max="1" width="12" customWidth="1"/>
    <col min="2" max="2" width="12" bestFit="1" customWidth="1"/>
    <col min="3" max="3" width="18.5703125" customWidth="1"/>
    <col min="4" max="4" width="15" customWidth="1"/>
    <col min="9" max="9" width="11" bestFit="1" customWidth="1"/>
  </cols>
  <sheetData>
    <row r="1" spans="1:10" ht="60" x14ac:dyDescent="0.25">
      <c r="A1" s="1" t="s">
        <v>16</v>
      </c>
      <c r="B1" s="1" t="s">
        <v>0</v>
      </c>
      <c r="C1" s="1" t="s">
        <v>15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8</v>
      </c>
      <c r="I1" s="1" t="s">
        <v>12</v>
      </c>
      <c r="J1" s="1" t="s">
        <v>13</v>
      </c>
    </row>
    <row r="2" spans="1:10" x14ac:dyDescent="0.25">
      <c r="A2">
        <v>651.39639999999997</v>
      </c>
      <c r="B2">
        <f>A2*0.000000001</f>
        <v>6.5139639999999999E-7</v>
      </c>
      <c r="D2" t="s">
        <v>10</v>
      </c>
      <c r="E2">
        <v>0</v>
      </c>
      <c r="G2">
        <v>8.9999999999999996E-12</v>
      </c>
      <c r="H2">
        <v>1.2500000000000001E-10</v>
      </c>
      <c r="I2" s="3">
        <v>2.0000000000000001E-10</v>
      </c>
    </row>
    <row r="3" spans="1:10" x14ac:dyDescent="0.25">
      <c r="A3">
        <v>651.52750000000003</v>
      </c>
      <c r="B3">
        <f t="shared" ref="B3:B63" si="0">A3*0.000000001</f>
        <v>6.5152750000000005E-7</v>
      </c>
      <c r="D3" t="s">
        <v>10</v>
      </c>
      <c r="E3">
        <v>0</v>
      </c>
      <c r="G3">
        <v>8.9999999999999996E-12</v>
      </c>
      <c r="H3">
        <v>1.2500000000000001E-10</v>
      </c>
      <c r="I3" s="3">
        <v>2.0000000000000001E-10</v>
      </c>
    </row>
    <row r="4" spans="1:10" x14ac:dyDescent="0.25">
      <c r="A4">
        <v>651.72270000000003</v>
      </c>
      <c r="B4">
        <f t="shared" si="0"/>
        <v>6.5172270000000012E-7</v>
      </c>
      <c r="D4" t="s">
        <v>10</v>
      </c>
      <c r="E4">
        <v>0</v>
      </c>
      <c r="G4">
        <v>8.9999999999999996E-12</v>
      </c>
      <c r="H4">
        <v>1.2500000000000001E-10</v>
      </c>
      <c r="I4" s="3">
        <v>2.0000000000000001E-10</v>
      </c>
    </row>
    <row r="5" spans="1:10" x14ac:dyDescent="0.25">
      <c r="A5">
        <v>651.72989999999993</v>
      </c>
      <c r="B5">
        <f t="shared" si="0"/>
        <v>6.5172989999999998E-7</v>
      </c>
      <c r="D5" t="s">
        <v>10</v>
      </c>
      <c r="E5">
        <v>1</v>
      </c>
      <c r="G5">
        <v>8.9999999999999996E-12</v>
      </c>
      <c r="H5">
        <v>1.2500000000000001E-10</v>
      </c>
      <c r="I5" s="3">
        <v>2.0000000000000001E-10</v>
      </c>
    </row>
    <row r="6" spans="1:10" x14ac:dyDescent="0.25">
      <c r="A6">
        <v>651.83660000000009</v>
      </c>
      <c r="B6">
        <f t="shared" si="0"/>
        <v>6.5183660000000015E-7</v>
      </c>
      <c r="D6" t="s">
        <v>10</v>
      </c>
      <c r="E6">
        <v>0</v>
      </c>
      <c r="G6">
        <v>8.9999999999999996E-12</v>
      </c>
      <c r="H6">
        <v>1.2500000000000001E-10</v>
      </c>
      <c r="I6" s="3">
        <v>2.0000000000000001E-10</v>
      </c>
    </row>
    <row r="7" spans="1:10" x14ac:dyDescent="0.25">
      <c r="A7">
        <v>651.98300000000006</v>
      </c>
      <c r="B7">
        <f t="shared" si="0"/>
        <v>6.5198300000000013E-7</v>
      </c>
      <c r="C7" t="s">
        <v>6</v>
      </c>
      <c r="D7" t="s">
        <v>10</v>
      </c>
      <c r="E7">
        <v>1</v>
      </c>
      <c r="G7">
        <v>8.9999999999999996E-12</v>
      </c>
      <c r="H7">
        <v>1.2500000000000001E-10</v>
      </c>
      <c r="I7" s="3">
        <v>3E-10</v>
      </c>
      <c r="J7" t="s">
        <v>21</v>
      </c>
    </row>
    <row r="8" spans="1:10" x14ac:dyDescent="0.25">
      <c r="A8">
        <v>652.14850000000001</v>
      </c>
      <c r="B8">
        <f t="shared" si="0"/>
        <v>6.5214850000000004E-7</v>
      </c>
      <c r="D8" t="s">
        <v>10</v>
      </c>
      <c r="E8">
        <v>0</v>
      </c>
      <c r="G8">
        <v>8.9999999999999996E-12</v>
      </c>
      <c r="H8">
        <v>1.2500000000000001E-10</v>
      </c>
      <c r="I8" s="3">
        <v>2.0000000000000001E-10</v>
      </c>
    </row>
    <row r="9" spans="1:10" x14ac:dyDescent="0.25">
      <c r="A9">
        <v>652.18309999999997</v>
      </c>
      <c r="B9">
        <f t="shared" si="0"/>
        <v>6.5218309999999998E-7</v>
      </c>
      <c r="D9" t="s">
        <v>10</v>
      </c>
      <c r="E9">
        <v>0</v>
      </c>
      <c r="G9">
        <v>8.9999999999999996E-12</v>
      </c>
      <c r="H9">
        <v>1.2500000000000001E-10</v>
      </c>
      <c r="I9" s="3">
        <v>2.0000000000000001E-10</v>
      </c>
    </row>
    <row r="10" spans="1:10" x14ac:dyDescent="0.25">
      <c r="A10">
        <v>652.30419999999992</v>
      </c>
      <c r="B10">
        <f t="shared" si="0"/>
        <v>6.5230419999999997E-7</v>
      </c>
      <c r="D10" t="s">
        <v>10</v>
      </c>
      <c r="E10">
        <v>0</v>
      </c>
      <c r="G10">
        <v>8.9999999999999996E-12</v>
      </c>
      <c r="H10">
        <v>1.2500000000000001E-10</v>
      </c>
      <c r="I10" s="3">
        <v>2.0000000000000001E-10</v>
      </c>
    </row>
    <row r="11" spans="1:10" x14ac:dyDescent="0.25">
      <c r="A11">
        <v>652.3605</v>
      </c>
      <c r="B11">
        <f t="shared" si="0"/>
        <v>6.5236050000000007E-7</v>
      </c>
      <c r="D11" t="s">
        <v>10</v>
      </c>
      <c r="E11">
        <v>0</v>
      </c>
      <c r="G11">
        <v>8.9999999999999996E-12</v>
      </c>
      <c r="H11">
        <v>1.2500000000000001E-10</v>
      </c>
      <c r="I11" s="3">
        <v>2.0000000000000001E-10</v>
      </c>
    </row>
    <row r="12" spans="1:10" x14ac:dyDescent="0.25">
      <c r="A12">
        <v>652.60479999999995</v>
      </c>
      <c r="B12">
        <f t="shared" si="0"/>
        <v>6.5260479999999995E-7</v>
      </c>
      <c r="D12" t="s">
        <v>10</v>
      </c>
      <c r="E12">
        <v>0</v>
      </c>
      <c r="G12">
        <v>8.9999999999999996E-12</v>
      </c>
      <c r="H12">
        <v>1.2500000000000001E-10</v>
      </c>
      <c r="I12" s="3">
        <v>2.0000000000000001E-10</v>
      </c>
    </row>
    <row r="13" spans="1:10" x14ac:dyDescent="0.25">
      <c r="A13">
        <v>652.64400000000001</v>
      </c>
      <c r="B13">
        <f t="shared" si="0"/>
        <v>6.5264400000000006E-7</v>
      </c>
      <c r="D13" t="s">
        <v>10</v>
      </c>
      <c r="E13">
        <v>0</v>
      </c>
      <c r="G13">
        <v>8.9999999999999996E-12</v>
      </c>
      <c r="H13">
        <v>1.2500000000000001E-10</v>
      </c>
      <c r="I13" s="3">
        <v>2.0000000000000001E-10</v>
      </c>
    </row>
    <row r="14" spans="1:10" x14ac:dyDescent="0.25">
      <c r="A14">
        <v>652.68039999999996</v>
      </c>
      <c r="B14">
        <f t="shared" si="0"/>
        <v>6.5268039999999996E-7</v>
      </c>
      <c r="D14" t="s">
        <v>10</v>
      </c>
      <c r="E14">
        <v>0</v>
      </c>
      <c r="G14">
        <v>8.9999999999999996E-12</v>
      </c>
      <c r="H14">
        <v>1.2500000000000001E-10</v>
      </c>
      <c r="I14" s="3">
        <v>2.0000000000000001E-10</v>
      </c>
    </row>
    <row r="15" spans="1:10" x14ac:dyDescent="0.25">
      <c r="A15">
        <v>652.73710000000005</v>
      </c>
      <c r="B15">
        <f t="shared" si="0"/>
        <v>6.5273710000000013E-7</v>
      </c>
      <c r="D15" t="s">
        <v>10</v>
      </c>
      <c r="E15">
        <v>0</v>
      </c>
      <c r="G15">
        <v>8.9999999999999996E-12</v>
      </c>
      <c r="H15">
        <v>1.2500000000000001E-10</v>
      </c>
      <c r="I15" s="3">
        <v>2.0000000000000001E-10</v>
      </c>
    </row>
    <row r="16" spans="1:10" x14ac:dyDescent="0.25">
      <c r="A16">
        <v>652.96310000000005</v>
      </c>
      <c r="B16">
        <f t="shared" si="0"/>
        <v>6.5296310000000012E-7</v>
      </c>
      <c r="D16" t="s">
        <v>10</v>
      </c>
      <c r="E16">
        <v>0</v>
      </c>
      <c r="G16">
        <v>8.9999999999999996E-12</v>
      </c>
      <c r="H16">
        <v>1.2500000000000001E-10</v>
      </c>
      <c r="I16" s="3">
        <v>2.0000000000000001E-10</v>
      </c>
    </row>
    <row r="17" spans="1:10" x14ac:dyDescent="0.25">
      <c r="A17">
        <v>653.17100000000005</v>
      </c>
      <c r="B17">
        <f t="shared" si="0"/>
        <v>6.531710000000001E-7</v>
      </c>
      <c r="D17" t="s">
        <v>10</v>
      </c>
      <c r="E17">
        <v>0</v>
      </c>
      <c r="G17">
        <v>8.9999999999999996E-12</v>
      </c>
      <c r="H17">
        <v>1.2500000000000001E-10</v>
      </c>
      <c r="I17" s="3">
        <v>2.0000000000000001E-10</v>
      </c>
    </row>
    <row r="18" spans="1:10" x14ac:dyDescent="0.25">
      <c r="A18">
        <v>653.23800000000006</v>
      </c>
      <c r="B18">
        <f t="shared" si="0"/>
        <v>6.5323800000000015E-7</v>
      </c>
      <c r="C18" t="s">
        <v>7</v>
      </c>
      <c r="D18" t="s">
        <v>10</v>
      </c>
      <c r="E18">
        <v>1</v>
      </c>
      <c r="G18">
        <v>8.9999999999999996E-12</v>
      </c>
      <c r="H18">
        <v>1.2500000000000001E-10</v>
      </c>
      <c r="I18" s="3">
        <v>3E-10</v>
      </c>
      <c r="J18" t="s">
        <v>18</v>
      </c>
    </row>
    <row r="19" spans="1:10" x14ac:dyDescent="0.25">
      <c r="A19">
        <v>653.35490000000004</v>
      </c>
      <c r="B19">
        <f t="shared" si="0"/>
        <v>6.5335490000000005E-7</v>
      </c>
      <c r="D19" t="s">
        <v>10</v>
      </c>
      <c r="E19">
        <v>0</v>
      </c>
      <c r="G19">
        <v>8.9999999999999996E-12</v>
      </c>
      <c r="H19">
        <v>1.2500000000000001E-10</v>
      </c>
      <c r="I19" s="3">
        <v>2.0000000000000001E-10</v>
      </c>
    </row>
    <row r="20" spans="1:10" x14ac:dyDescent="0.25">
      <c r="A20">
        <v>653.3972</v>
      </c>
      <c r="B20">
        <f t="shared" si="0"/>
        <v>6.5339720000000007E-7</v>
      </c>
      <c r="D20" t="s">
        <v>10</v>
      </c>
      <c r="E20">
        <v>0</v>
      </c>
      <c r="G20">
        <v>8.9999999999999996E-12</v>
      </c>
      <c r="H20">
        <v>1.2500000000000001E-10</v>
      </c>
      <c r="I20" s="3">
        <v>2.0000000000000001E-10</v>
      </c>
    </row>
    <row r="21" spans="1:10" x14ac:dyDescent="0.25">
      <c r="A21">
        <v>653.50869999999998</v>
      </c>
      <c r="B21">
        <f t="shared" si="0"/>
        <v>6.5350869999999998E-7</v>
      </c>
      <c r="D21" t="s">
        <v>10</v>
      </c>
      <c r="E21">
        <v>0</v>
      </c>
      <c r="G21">
        <v>8.9999999999999996E-12</v>
      </c>
      <c r="H21">
        <v>1.2500000000000001E-10</v>
      </c>
      <c r="I21" s="3">
        <v>2.0000000000000001E-10</v>
      </c>
    </row>
    <row r="22" spans="1:10" x14ac:dyDescent="0.25">
      <c r="A22">
        <v>653.64300000000003</v>
      </c>
      <c r="B22">
        <f t="shared" si="0"/>
        <v>6.536430000000001E-7</v>
      </c>
      <c r="D22" t="s">
        <v>10</v>
      </c>
      <c r="E22">
        <v>0</v>
      </c>
      <c r="G22">
        <v>8.9999999999999996E-12</v>
      </c>
      <c r="H22">
        <v>1.2500000000000001E-10</v>
      </c>
      <c r="I22" s="3">
        <v>2.0000000000000001E-10</v>
      </c>
    </row>
    <row r="23" spans="1:10" x14ac:dyDescent="0.25">
      <c r="A23">
        <v>653.65089999999998</v>
      </c>
      <c r="B23">
        <f t="shared" si="0"/>
        <v>6.5365090000000007E-7</v>
      </c>
      <c r="D23" t="s">
        <v>10</v>
      </c>
      <c r="E23">
        <v>0</v>
      </c>
      <c r="G23">
        <v>8.9999999999999996E-12</v>
      </c>
      <c r="H23">
        <v>1.2500000000000001E-10</v>
      </c>
      <c r="I23" s="3">
        <v>2.0000000000000001E-10</v>
      </c>
    </row>
    <row r="24" spans="1:10" x14ac:dyDescent="0.25">
      <c r="A24">
        <v>653.76280000000008</v>
      </c>
      <c r="B24">
        <f t="shared" si="0"/>
        <v>6.5376280000000015E-7</v>
      </c>
      <c r="D24" t="s">
        <v>10</v>
      </c>
      <c r="E24">
        <v>0</v>
      </c>
      <c r="G24">
        <v>8.9999999999999996E-12</v>
      </c>
      <c r="H24">
        <v>1.2500000000000001E-10</v>
      </c>
      <c r="I24" s="3">
        <v>2.0000000000000001E-10</v>
      </c>
    </row>
    <row r="25" spans="1:10" x14ac:dyDescent="0.25">
      <c r="A25">
        <v>653.83000000000004</v>
      </c>
      <c r="B25">
        <f t="shared" si="0"/>
        <v>6.5383000000000008E-7</v>
      </c>
      <c r="D25" t="s">
        <v>10</v>
      </c>
      <c r="E25">
        <v>1</v>
      </c>
      <c r="G25">
        <v>8.9999999999999996E-12</v>
      </c>
      <c r="H25">
        <v>1.2500000000000001E-10</v>
      </c>
      <c r="I25" s="3">
        <v>2.0000000000000001E-10</v>
      </c>
    </row>
    <row r="26" spans="1:10" x14ac:dyDescent="0.25">
      <c r="A26">
        <v>653.96889999999996</v>
      </c>
      <c r="B26">
        <f t="shared" si="0"/>
        <v>6.5396889999999995E-7</v>
      </c>
      <c r="D26" t="s">
        <v>10</v>
      </c>
      <c r="E26">
        <v>0</v>
      </c>
      <c r="G26">
        <v>8.9999999999999996E-12</v>
      </c>
      <c r="H26">
        <v>1.2500000000000001E-10</v>
      </c>
      <c r="I26" s="3">
        <v>2.0000000000000001E-10</v>
      </c>
    </row>
    <row r="27" spans="1:10" x14ac:dyDescent="0.25">
      <c r="A27">
        <v>654.05520000000001</v>
      </c>
      <c r="B27">
        <f t="shared" si="0"/>
        <v>6.5405520000000003E-7</v>
      </c>
      <c r="D27" t="s">
        <v>10</v>
      </c>
      <c r="E27">
        <v>0</v>
      </c>
      <c r="G27">
        <v>8.9999999999999996E-12</v>
      </c>
      <c r="H27">
        <v>1.2500000000000001E-10</v>
      </c>
      <c r="I27" s="3">
        <v>2.0000000000000001E-10</v>
      </c>
    </row>
    <row r="28" spans="1:10" x14ac:dyDescent="0.25">
      <c r="A28">
        <v>654.12729999999999</v>
      </c>
      <c r="B28">
        <f t="shared" si="0"/>
        <v>6.5412730000000005E-7</v>
      </c>
      <c r="D28" t="s">
        <v>10</v>
      </c>
      <c r="E28">
        <v>0</v>
      </c>
      <c r="G28">
        <v>8.9999999999999996E-12</v>
      </c>
      <c r="H28">
        <v>1.2500000000000001E-10</v>
      </c>
      <c r="I28" s="3">
        <v>2.0000000000000001E-10</v>
      </c>
    </row>
    <row r="29" spans="1:10" x14ac:dyDescent="0.25">
      <c r="A29">
        <v>654.1309</v>
      </c>
      <c r="B29">
        <f t="shared" si="0"/>
        <v>6.5413090000000008E-7</v>
      </c>
      <c r="D29" t="s">
        <v>10</v>
      </c>
      <c r="E29">
        <v>0</v>
      </c>
      <c r="G29">
        <v>8.9999999999999996E-12</v>
      </c>
      <c r="H29">
        <v>1.2500000000000001E-10</v>
      </c>
      <c r="I29" s="3">
        <v>2.0000000000000001E-10</v>
      </c>
    </row>
    <row r="30" spans="1:10" x14ac:dyDescent="0.25">
      <c r="A30">
        <v>654.31880000000001</v>
      </c>
      <c r="B30">
        <f t="shared" si="0"/>
        <v>6.5431880000000004E-7</v>
      </c>
      <c r="D30" t="s">
        <v>10</v>
      </c>
      <c r="E30">
        <v>0</v>
      </c>
      <c r="G30">
        <v>8.9999999999999996E-12</v>
      </c>
      <c r="H30">
        <v>1.2500000000000001E-10</v>
      </c>
      <c r="I30" s="3">
        <v>2.0000000000000001E-10</v>
      </c>
    </row>
    <row r="31" spans="1:10" x14ac:dyDescent="0.25">
      <c r="A31">
        <v>654.32939999999996</v>
      </c>
      <c r="B31">
        <f t="shared" si="0"/>
        <v>6.5432940000000006E-7</v>
      </c>
      <c r="D31" t="s">
        <v>10</v>
      </c>
      <c r="E31">
        <v>0</v>
      </c>
      <c r="G31">
        <v>8.9999999999999996E-12</v>
      </c>
      <c r="H31">
        <v>1.2500000000000001E-10</v>
      </c>
      <c r="I31" s="3">
        <v>2.0000000000000001E-10</v>
      </c>
    </row>
    <row r="32" spans="1:10" x14ac:dyDescent="0.25">
      <c r="A32">
        <v>654.46780000000001</v>
      </c>
      <c r="B32">
        <f t="shared" si="0"/>
        <v>6.5446780000000002E-7</v>
      </c>
      <c r="D32" t="s">
        <v>10</v>
      </c>
      <c r="E32">
        <v>0</v>
      </c>
      <c r="G32">
        <v>8.9999999999999996E-12</v>
      </c>
      <c r="H32">
        <v>1.2500000000000001E-10</v>
      </c>
      <c r="I32" s="3">
        <v>2.0000000000000001E-10</v>
      </c>
    </row>
    <row r="33" spans="1:10" x14ac:dyDescent="0.25">
      <c r="A33">
        <v>654.47190000000001</v>
      </c>
      <c r="B33">
        <f t="shared" si="0"/>
        <v>6.5447190000000007E-7</v>
      </c>
      <c r="C33" t="s">
        <v>22</v>
      </c>
      <c r="D33" t="s">
        <v>10</v>
      </c>
      <c r="E33">
        <v>1</v>
      </c>
      <c r="G33">
        <v>8.9999999999999996E-12</v>
      </c>
      <c r="H33">
        <v>1.2500000000000001E-10</v>
      </c>
      <c r="I33" s="3">
        <v>2.0000000000000001E-10</v>
      </c>
      <c r="J33" t="s">
        <v>17</v>
      </c>
    </row>
    <row r="34" spans="1:10" x14ac:dyDescent="0.25">
      <c r="A34">
        <v>654.65370000000007</v>
      </c>
      <c r="B34">
        <f t="shared" si="0"/>
        <v>6.5465370000000014E-7</v>
      </c>
      <c r="D34" t="s">
        <v>10</v>
      </c>
      <c r="E34">
        <v>0</v>
      </c>
      <c r="G34">
        <v>8.9999999999999996E-12</v>
      </c>
      <c r="H34">
        <v>1.2500000000000001E-10</v>
      </c>
      <c r="I34" s="3">
        <v>2.0000000000000001E-10</v>
      </c>
    </row>
    <row r="35" spans="1:10" x14ac:dyDescent="0.25">
      <c r="A35">
        <v>654.78829999999994</v>
      </c>
      <c r="B35">
        <f t="shared" si="0"/>
        <v>6.5478829999999998E-7</v>
      </c>
      <c r="D35" t="s">
        <v>10</v>
      </c>
      <c r="E35">
        <v>0</v>
      </c>
      <c r="G35">
        <v>8.9999999999999996E-12</v>
      </c>
      <c r="H35">
        <v>1.2500000000000001E-10</v>
      </c>
      <c r="I35" s="3">
        <v>2.0000000000000001E-10</v>
      </c>
    </row>
    <row r="36" spans="1:10" x14ac:dyDescent="0.25">
      <c r="A36">
        <v>654.88560000000007</v>
      </c>
      <c r="B36">
        <f t="shared" si="0"/>
        <v>6.5488560000000014E-7</v>
      </c>
      <c r="D36" t="s">
        <v>10</v>
      </c>
      <c r="E36">
        <v>0</v>
      </c>
      <c r="G36">
        <v>8.9999999999999996E-12</v>
      </c>
      <c r="H36">
        <v>1.2500000000000001E-10</v>
      </c>
      <c r="I36" s="3">
        <v>2.0000000000000001E-10</v>
      </c>
    </row>
    <row r="37" spans="1:10" x14ac:dyDescent="0.25">
      <c r="A37">
        <v>654.95339999999999</v>
      </c>
      <c r="B37">
        <f t="shared" si="0"/>
        <v>6.5495340000000002E-7</v>
      </c>
      <c r="D37" t="s">
        <v>10</v>
      </c>
      <c r="E37">
        <v>1</v>
      </c>
      <c r="G37">
        <v>8.9999999999999996E-12</v>
      </c>
      <c r="H37">
        <v>1.2500000000000001E-10</v>
      </c>
      <c r="I37" s="3">
        <v>2.0000000000000001E-10</v>
      </c>
    </row>
    <row r="38" spans="1:10" x14ac:dyDescent="0.25">
      <c r="A38">
        <v>655.09109999999998</v>
      </c>
      <c r="B38">
        <f t="shared" si="0"/>
        <v>6.5509109999999999E-7</v>
      </c>
      <c r="D38" t="s">
        <v>10</v>
      </c>
      <c r="E38">
        <v>0</v>
      </c>
      <c r="G38">
        <v>8.9999999999999996E-12</v>
      </c>
      <c r="H38">
        <v>1.2500000000000001E-10</v>
      </c>
      <c r="I38" s="3">
        <v>2.0000000000000001E-10</v>
      </c>
    </row>
    <row r="39" spans="1:10" x14ac:dyDescent="0.25">
      <c r="A39">
        <v>655.28480000000002</v>
      </c>
      <c r="B39">
        <f t="shared" si="0"/>
        <v>6.5528480000000002E-7</v>
      </c>
      <c r="D39" t="s">
        <v>10</v>
      </c>
      <c r="E39">
        <v>0</v>
      </c>
      <c r="G39">
        <v>8.9999999999999996E-12</v>
      </c>
      <c r="H39">
        <v>1.2500000000000001E-10</v>
      </c>
      <c r="I39" s="3">
        <v>2.0000000000000001E-10</v>
      </c>
    </row>
    <row r="40" spans="1:10" x14ac:dyDescent="0.25">
      <c r="A40">
        <v>655.34499999999991</v>
      </c>
      <c r="B40">
        <f t="shared" si="0"/>
        <v>6.5534499999999997E-7</v>
      </c>
      <c r="C40" t="s">
        <v>22</v>
      </c>
      <c r="D40" t="s">
        <v>10</v>
      </c>
      <c r="E40">
        <v>1</v>
      </c>
      <c r="G40">
        <v>8.9999999999999996E-12</v>
      </c>
      <c r="H40">
        <v>1.2500000000000001E-10</v>
      </c>
      <c r="I40" s="3">
        <v>2.0000000000000001E-10</v>
      </c>
      <c r="J40" t="s">
        <v>17</v>
      </c>
    </row>
    <row r="41" spans="1:10" x14ac:dyDescent="0.25">
      <c r="A41">
        <v>655.39969999999994</v>
      </c>
      <c r="B41">
        <f t="shared" si="0"/>
        <v>6.5539969999999998E-7</v>
      </c>
      <c r="D41" t="s">
        <v>10</v>
      </c>
      <c r="E41">
        <v>1</v>
      </c>
      <c r="G41">
        <v>8.9999999999999996E-12</v>
      </c>
      <c r="H41">
        <v>1.2500000000000001E-10</v>
      </c>
      <c r="I41" s="3">
        <v>2.0000000000000001E-10</v>
      </c>
    </row>
    <row r="42" spans="1:10" x14ac:dyDescent="0.25">
      <c r="A42">
        <v>655.43020000000001</v>
      </c>
      <c r="B42">
        <f t="shared" si="0"/>
        <v>6.5543020000000008E-7</v>
      </c>
      <c r="D42" t="s">
        <v>10</v>
      </c>
      <c r="E42">
        <v>0</v>
      </c>
      <c r="G42">
        <v>8.9999999999999996E-12</v>
      </c>
      <c r="H42">
        <v>1.2500000000000001E-10</v>
      </c>
      <c r="I42" s="3">
        <v>2.0000000000000001E-10</v>
      </c>
    </row>
    <row r="43" spans="1:10" x14ac:dyDescent="0.25">
      <c r="A43">
        <v>655.62119999999993</v>
      </c>
      <c r="B43">
        <f t="shared" si="0"/>
        <v>6.5562119999999995E-7</v>
      </c>
      <c r="C43" t="s">
        <v>22</v>
      </c>
      <c r="D43" t="s">
        <v>10</v>
      </c>
      <c r="E43">
        <v>1</v>
      </c>
      <c r="G43">
        <v>8.9999999999999996E-12</v>
      </c>
      <c r="H43">
        <v>1.2500000000000001E-10</v>
      </c>
      <c r="I43" s="3">
        <v>2.0000000000000001E-10</v>
      </c>
      <c r="J43" t="s">
        <v>17</v>
      </c>
    </row>
    <row r="44" spans="1:10" x14ac:dyDescent="0.25">
      <c r="A44">
        <v>655.86099999999999</v>
      </c>
      <c r="B44">
        <f t="shared" si="0"/>
        <v>6.5586100000000003E-7</v>
      </c>
      <c r="C44" t="s">
        <v>22</v>
      </c>
      <c r="D44" t="s">
        <v>10</v>
      </c>
      <c r="E44">
        <v>1</v>
      </c>
      <c r="G44">
        <v>8.9999999999999996E-12</v>
      </c>
      <c r="H44">
        <v>1.2500000000000001E-10</v>
      </c>
      <c r="I44" s="3">
        <v>2.0000000000000001E-10</v>
      </c>
      <c r="J44" t="s">
        <v>17</v>
      </c>
    </row>
    <row r="45" spans="1:10" x14ac:dyDescent="0.25">
      <c r="A45">
        <v>656.101</v>
      </c>
      <c r="B45">
        <f t="shared" si="0"/>
        <v>6.5610100000000009E-7</v>
      </c>
      <c r="C45" t="s">
        <v>4</v>
      </c>
      <c r="D45" t="s">
        <v>9</v>
      </c>
      <c r="E45">
        <v>1</v>
      </c>
      <c r="G45">
        <v>8.9999999999999996E-12</v>
      </c>
      <c r="H45">
        <v>3E-10</v>
      </c>
      <c r="I45" s="3">
        <v>1.2E-9</v>
      </c>
    </row>
    <row r="46" spans="1:10" x14ac:dyDescent="0.25">
      <c r="A46">
        <v>656.10539999999992</v>
      </c>
      <c r="B46">
        <f t="shared" si="0"/>
        <v>6.5610539999999995E-7</v>
      </c>
      <c r="D46" t="s">
        <v>10</v>
      </c>
      <c r="E46">
        <v>0</v>
      </c>
      <c r="G46">
        <v>8.9999999999999996E-12</v>
      </c>
      <c r="H46">
        <v>1.2500000000000001E-10</v>
      </c>
      <c r="I46" s="3">
        <v>2.0000000000000001E-10</v>
      </c>
    </row>
    <row r="47" spans="1:10" x14ac:dyDescent="0.25">
      <c r="A47">
        <v>656.13720000000001</v>
      </c>
      <c r="B47">
        <f t="shared" si="0"/>
        <v>6.5613720000000001E-7</v>
      </c>
      <c r="D47" t="s">
        <v>10</v>
      </c>
      <c r="E47">
        <v>0</v>
      </c>
      <c r="G47">
        <v>8.9999999999999996E-12</v>
      </c>
      <c r="H47">
        <v>1.2500000000000001E-10</v>
      </c>
      <c r="I47" s="3">
        <v>2.0000000000000001E-10</v>
      </c>
    </row>
    <row r="48" spans="1:10" x14ac:dyDescent="0.25">
      <c r="A48">
        <v>656.28000000000009</v>
      </c>
      <c r="B48">
        <f t="shared" si="0"/>
        <v>6.5628000000000016E-7</v>
      </c>
      <c r="C48" t="s">
        <v>5</v>
      </c>
      <c r="D48" t="s">
        <v>9</v>
      </c>
      <c r="E48">
        <v>1</v>
      </c>
      <c r="G48">
        <v>8.9999999999999996E-12</v>
      </c>
      <c r="H48">
        <v>3E-10</v>
      </c>
      <c r="I48" s="3">
        <v>1.2E-9</v>
      </c>
      <c r="J48" t="s">
        <v>20</v>
      </c>
    </row>
    <row r="49" spans="1:10" x14ac:dyDescent="0.25">
      <c r="A49">
        <v>656.28219999999999</v>
      </c>
      <c r="B49">
        <f t="shared" si="0"/>
        <v>6.5628219999999998E-7</v>
      </c>
      <c r="D49" t="s">
        <v>10</v>
      </c>
      <c r="E49">
        <v>0</v>
      </c>
      <c r="G49">
        <v>8.9999999999999996E-12</v>
      </c>
      <c r="H49">
        <v>1.2500000000000001E-10</v>
      </c>
      <c r="I49" s="3">
        <v>2.0000000000000001E-10</v>
      </c>
    </row>
    <row r="50" spans="1:10" x14ac:dyDescent="0.25">
      <c r="A50">
        <v>656.44659999999999</v>
      </c>
      <c r="B50">
        <f t="shared" si="0"/>
        <v>6.5644660000000003E-7</v>
      </c>
      <c r="D50" t="s">
        <v>10</v>
      </c>
      <c r="E50">
        <v>0</v>
      </c>
      <c r="G50">
        <v>8.9999999999999996E-12</v>
      </c>
      <c r="H50">
        <v>1.2500000000000001E-10</v>
      </c>
      <c r="I50" s="3">
        <v>2.0000000000000001E-10</v>
      </c>
    </row>
    <row r="51" spans="1:10" x14ac:dyDescent="0.25">
      <c r="A51">
        <v>656.58069999999998</v>
      </c>
      <c r="B51">
        <f t="shared" si="0"/>
        <v>6.5658070000000007E-7</v>
      </c>
      <c r="D51" t="s">
        <v>10</v>
      </c>
      <c r="E51">
        <v>0</v>
      </c>
      <c r="G51">
        <v>8.9999999999999996E-12</v>
      </c>
      <c r="H51">
        <v>1.2500000000000001E-10</v>
      </c>
      <c r="I51" s="3">
        <v>2.0000000000000001E-10</v>
      </c>
    </row>
    <row r="52" spans="1:10" x14ac:dyDescent="0.25">
      <c r="A52">
        <v>656.70620000000008</v>
      </c>
      <c r="B52">
        <f t="shared" si="0"/>
        <v>6.5670620000000015E-7</v>
      </c>
      <c r="D52" t="s">
        <v>10</v>
      </c>
      <c r="E52">
        <v>0</v>
      </c>
      <c r="G52">
        <v>8.9999999999999996E-12</v>
      </c>
      <c r="H52">
        <v>1.2500000000000001E-10</v>
      </c>
      <c r="I52" s="3">
        <v>2.0000000000000001E-10</v>
      </c>
    </row>
    <row r="53" spans="1:10" x14ac:dyDescent="0.25">
      <c r="A53">
        <v>656.76279999999997</v>
      </c>
      <c r="B53">
        <f t="shared" si="0"/>
        <v>6.5676280000000006E-7</v>
      </c>
      <c r="D53" t="s">
        <v>10</v>
      </c>
      <c r="E53">
        <v>1</v>
      </c>
      <c r="G53">
        <v>8.9999999999999996E-12</v>
      </c>
      <c r="H53">
        <v>1.2500000000000001E-10</v>
      </c>
      <c r="I53" s="3">
        <v>2.0000000000000001E-10</v>
      </c>
    </row>
    <row r="54" spans="1:10" x14ac:dyDescent="0.25">
      <c r="A54">
        <v>656.8075</v>
      </c>
      <c r="B54">
        <f t="shared" si="0"/>
        <v>6.568075E-7</v>
      </c>
      <c r="D54" t="s">
        <v>10</v>
      </c>
      <c r="E54">
        <v>0</v>
      </c>
      <c r="G54">
        <v>8.9999999999999996E-12</v>
      </c>
      <c r="H54">
        <v>1.2500000000000001E-10</v>
      </c>
      <c r="I54" s="3">
        <v>2.0000000000000001E-10</v>
      </c>
    </row>
    <row r="55" spans="1:10" x14ac:dyDescent="0.25">
      <c r="A55">
        <v>656.96259999999995</v>
      </c>
      <c r="B55">
        <f t="shared" si="0"/>
        <v>6.5696259999999998E-7</v>
      </c>
      <c r="D55" t="s">
        <v>10</v>
      </c>
      <c r="E55">
        <v>0</v>
      </c>
      <c r="G55">
        <v>8.9999999999999996E-12</v>
      </c>
      <c r="H55">
        <v>1.2500000000000001E-10</v>
      </c>
      <c r="I55" s="3">
        <v>2.0000000000000001E-10</v>
      </c>
    </row>
    <row r="56" spans="1:10" x14ac:dyDescent="0.25">
      <c r="A56">
        <v>657.05129999999997</v>
      </c>
      <c r="B56">
        <f t="shared" si="0"/>
        <v>6.5705129999999997E-7</v>
      </c>
      <c r="D56" t="s">
        <v>10</v>
      </c>
      <c r="E56">
        <v>0</v>
      </c>
      <c r="G56">
        <v>8.9999999999999996E-12</v>
      </c>
      <c r="H56">
        <v>1.2500000000000001E-10</v>
      </c>
      <c r="I56" s="3">
        <v>2.0000000000000001E-10</v>
      </c>
    </row>
    <row r="57" spans="1:10" x14ac:dyDescent="0.25">
      <c r="A57">
        <v>657.10809999999992</v>
      </c>
      <c r="B57">
        <f t="shared" si="0"/>
        <v>6.5710809999999998E-7</v>
      </c>
      <c r="D57" t="s">
        <v>10</v>
      </c>
      <c r="E57">
        <v>0</v>
      </c>
      <c r="G57">
        <v>8.9999999999999996E-12</v>
      </c>
      <c r="H57">
        <v>1.2500000000000001E-10</v>
      </c>
      <c r="I57" s="3">
        <v>2.0000000000000001E-10</v>
      </c>
    </row>
    <row r="58" spans="1:10" x14ac:dyDescent="0.25">
      <c r="A58">
        <v>657.2405</v>
      </c>
      <c r="B58">
        <f t="shared" si="0"/>
        <v>6.5724049999999999E-7</v>
      </c>
      <c r="D58" t="s">
        <v>10</v>
      </c>
      <c r="E58">
        <v>0</v>
      </c>
      <c r="G58">
        <v>8.9999999999999996E-12</v>
      </c>
      <c r="H58">
        <v>1.2500000000000001E-10</v>
      </c>
      <c r="I58" s="3">
        <v>2.0000000000000001E-10</v>
      </c>
    </row>
    <row r="59" spans="1:10" x14ac:dyDescent="0.25">
      <c r="A59">
        <v>657.39</v>
      </c>
      <c r="B59">
        <f t="shared" si="0"/>
        <v>6.5738999999999999E-7</v>
      </c>
      <c r="C59" t="s">
        <v>7</v>
      </c>
      <c r="D59" t="s">
        <v>10</v>
      </c>
      <c r="E59">
        <v>1</v>
      </c>
      <c r="G59">
        <v>8.9999999999999996E-12</v>
      </c>
      <c r="H59">
        <v>1.2500000000000001E-10</v>
      </c>
      <c r="I59" s="3">
        <v>3E-10</v>
      </c>
      <c r="J59" t="s">
        <v>19</v>
      </c>
    </row>
    <row r="60" spans="1:10" x14ac:dyDescent="0.25">
      <c r="A60">
        <v>657.41080000000011</v>
      </c>
      <c r="B60">
        <f t="shared" si="0"/>
        <v>6.5741080000000016E-7</v>
      </c>
      <c r="D60" t="s">
        <v>10</v>
      </c>
      <c r="E60">
        <v>0</v>
      </c>
      <c r="G60">
        <v>8.9999999999999996E-12</v>
      </c>
      <c r="H60">
        <v>1.2500000000000001E-10</v>
      </c>
      <c r="I60" s="3">
        <v>2.0000000000000001E-10</v>
      </c>
    </row>
    <row r="61" spans="1:10" x14ac:dyDescent="0.25">
      <c r="A61">
        <v>657.51580000000001</v>
      </c>
      <c r="B61">
        <f t="shared" si="0"/>
        <v>6.5751580000000009E-7</v>
      </c>
      <c r="D61" t="s">
        <v>10</v>
      </c>
      <c r="E61">
        <v>1</v>
      </c>
      <c r="G61">
        <v>8.9999999999999996E-12</v>
      </c>
      <c r="H61">
        <v>1.2500000000000001E-10</v>
      </c>
      <c r="I61" s="3">
        <v>2.0000000000000001E-10</v>
      </c>
    </row>
    <row r="62" spans="1:10" x14ac:dyDescent="0.25">
      <c r="A62">
        <v>657.53020000000004</v>
      </c>
      <c r="B62">
        <f t="shared" si="0"/>
        <v>6.5753020000000013E-7</v>
      </c>
      <c r="D62" t="s">
        <v>10</v>
      </c>
      <c r="E62">
        <v>0</v>
      </c>
      <c r="G62">
        <v>8.9999999999999996E-12</v>
      </c>
      <c r="H62">
        <v>1.2500000000000001E-10</v>
      </c>
      <c r="I62" s="3">
        <v>2.0000000000000001E-10</v>
      </c>
    </row>
    <row r="63" spans="1:10" x14ac:dyDescent="0.25">
      <c r="A63">
        <v>657.65030000000002</v>
      </c>
      <c r="B63">
        <f t="shared" si="0"/>
        <v>6.576503000000001E-7</v>
      </c>
      <c r="D63" t="s">
        <v>10</v>
      </c>
      <c r="E63">
        <v>0</v>
      </c>
      <c r="G63">
        <v>8.9999999999999996E-12</v>
      </c>
      <c r="H63">
        <v>1.2500000000000001E-10</v>
      </c>
      <c r="I63" s="3">
        <v>2.0000000000000001E-10</v>
      </c>
    </row>
    <row r="64" spans="1:10" x14ac:dyDescent="0.25">
      <c r="A64">
        <v>657.79629999999997</v>
      </c>
      <c r="B64">
        <f t="shared" ref="B64:B98" si="1">A64*0.000000001</f>
        <v>6.577963E-7</v>
      </c>
      <c r="D64" t="s">
        <v>10</v>
      </c>
      <c r="E64">
        <v>0</v>
      </c>
      <c r="G64">
        <v>8.9999999999999996E-12</v>
      </c>
      <c r="H64">
        <v>1.2500000000000001E-10</v>
      </c>
      <c r="I64" s="3">
        <v>2.0000000000000001E-10</v>
      </c>
    </row>
    <row r="65" spans="1:9" x14ac:dyDescent="0.25">
      <c r="A65">
        <v>658.02549999999997</v>
      </c>
      <c r="B65">
        <f t="shared" si="1"/>
        <v>6.5802550000000006E-7</v>
      </c>
      <c r="D65" t="s">
        <v>10</v>
      </c>
      <c r="E65">
        <v>0</v>
      </c>
      <c r="G65">
        <v>8.9999999999999996E-12</v>
      </c>
      <c r="H65">
        <v>1.2500000000000001E-10</v>
      </c>
      <c r="I65" s="3">
        <v>2.0000000000000001E-10</v>
      </c>
    </row>
    <row r="66" spans="1:9" x14ac:dyDescent="0.25">
      <c r="A66">
        <v>658.17960000000005</v>
      </c>
      <c r="B66">
        <f t="shared" si="1"/>
        <v>6.5817960000000012E-7</v>
      </c>
      <c r="D66" t="s">
        <v>10</v>
      </c>
      <c r="E66">
        <v>0</v>
      </c>
      <c r="G66">
        <v>8.9999999999999996E-12</v>
      </c>
      <c r="H66">
        <v>1.2500000000000001E-10</v>
      </c>
      <c r="I66" s="3">
        <v>2.0000000000000001E-10</v>
      </c>
    </row>
    <row r="67" spans="1:9" x14ac:dyDescent="0.25">
      <c r="A67">
        <v>658.29300000000001</v>
      </c>
      <c r="B67">
        <f t="shared" si="1"/>
        <v>6.5829300000000003E-7</v>
      </c>
      <c r="D67" t="s">
        <v>10</v>
      </c>
      <c r="E67">
        <v>1</v>
      </c>
      <c r="G67">
        <v>8.9999999999999996E-12</v>
      </c>
      <c r="H67">
        <v>1.2500000000000001E-10</v>
      </c>
      <c r="I67" s="3">
        <v>2.0000000000000001E-10</v>
      </c>
    </row>
    <row r="68" spans="1:9" x14ac:dyDescent="0.25">
      <c r="A68">
        <v>658.29750000000001</v>
      </c>
      <c r="B68">
        <f t="shared" si="1"/>
        <v>6.5829750000000005E-7</v>
      </c>
      <c r="D68" t="s">
        <v>10</v>
      </c>
      <c r="E68">
        <v>0</v>
      </c>
      <c r="G68">
        <v>8.9999999999999996E-12</v>
      </c>
      <c r="H68">
        <v>1.2500000000000001E-10</v>
      </c>
      <c r="I68" s="3">
        <v>2.0000000000000001E-10</v>
      </c>
    </row>
    <row r="69" spans="1:9" x14ac:dyDescent="0.25">
      <c r="A69">
        <v>658.51290000000006</v>
      </c>
      <c r="B69">
        <f t="shared" si="1"/>
        <v>6.5851290000000013E-7</v>
      </c>
      <c r="D69" t="s">
        <v>10</v>
      </c>
      <c r="E69">
        <v>0</v>
      </c>
      <c r="G69">
        <v>8.9999999999999996E-12</v>
      </c>
      <c r="H69">
        <v>1.2500000000000001E-10</v>
      </c>
      <c r="I69" s="3">
        <v>2.0000000000000001E-10</v>
      </c>
    </row>
    <row r="70" spans="1:9" x14ac:dyDescent="0.25">
      <c r="A70">
        <v>658.60479999999995</v>
      </c>
      <c r="B70">
        <f t="shared" si="1"/>
        <v>6.5860479999999998E-7</v>
      </c>
      <c r="D70" t="s">
        <v>10</v>
      </c>
      <c r="E70">
        <v>0</v>
      </c>
      <c r="G70">
        <v>8.9999999999999996E-12</v>
      </c>
      <c r="H70">
        <v>1.2500000000000001E-10</v>
      </c>
      <c r="I70" s="3">
        <v>2.0000000000000001E-10</v>
      </c>
    </row>
    <row r="71" spans="1:9" x14ac:dyDescent="0.25">
      <c r="A71">
        <v>658.70429999999999</v>
      </c>
      <c r="B71">
        <f t="shared" si="1"/>
        <v>6.5870430000000008E-7</v>
      </c>
      <c r="D71" t="s">
        <v>10</v>
      </c>
      <c r="E71">
        <v>0</v>
      </c>
      <c r="G71">
        <v>8.9999999999999996E-12</v>
      </c>
      <c r="H71">
        <v>1.2500000000000001E-10</v>
      </c>
      <c r="I71" s="3">
        <v>2.0000000000000001E-10</v>
      </c>
    </row>
    <row r="72" spans="1:9" x14ac:dyDescent="0.25">
      <c r="A72">
        <v>658.77620000000002</v>
      </c>
      <c r="B72">
        <f t="shared" si="1"/>
        <v>6.5877620000000001E-7</v>
      </c>
      <c r="D72" t="s">
        <v>10</v>
      </c>
      <c r="E72">
        <v>0</v>
      </c>
      <c r="G72">
        <v>8.9999999999999996E-12</v>
      </c>
      <c r="H72">
        <v>1.2500000000000001E-10</v>
      </c>
      <c r="I72" s="3">
        <v>2.0000000000000001E-10</v>
      </c>
    </row>
    <row r="73" spans="1:9" x14ac:dyDescent="0.25">
      <c r="A73">
        <v>659.04739999999993</v>
      </c>
      <c r="B73">
        <f t="shared" si="1"/>
        <v>6.5904739999999995E-7</v>
      </c>
      <c r="D73" t="s">
        <v>10</v>
      </c>
      <c r="E73">
        <v>0</v>
      </c>
      <c r="G73">
        <v>8.9999999999999996E-12</v>
      </c>
      <c r="H73">
        <v>1.2500000000000001E-10</v>
      </c>
      <c r="I73" s="3">
        <v>2.0000000000000001E-10</v>
      </c>
    </row>
    <row r="74" spans="1:9" x14ac:dyDescent="0.25">
      <c r="A74">
        <v>659.17349999999999</v>
      </c>
      <c r="B74">
        <f t="shared" si="1"/>
        <v>6.5917349999999998E-7</v>
      </c>
      <c r="D74" t="s">
        <v>10</v>
      </c>
      <c r="E74">
        <v>0</v>
      </c>
      <c r="G74">
        <v>8.9999999999999996E-12</v>
      </c>
      <c r="H74">
        <v>1.2500000000000001E-10</v>
      </c>
      <c r="I74" s="3">
        <v>2.0000000000000001E-10</v>
      </c>
    </row>
    <row r="75" spans="1:9" x14ac:dyDescent="0.25">
      <c r="A75">
        <v>659.17360000000008</v>
      </c>
      <c r="B75">
        <f t="shared" si="1"/>
        <v>6.5917360000000013E-7</v>
      </c>
      <c r="D75" t="s">
        <v>10</v>
      </c>
      <c r="E75">
        <v>1</v>
      </c>
      <c r="G75">
        <v>8.9999999999999996E-12</v>
      </c>
      <c r="H75">
        <v>1.2500000000000001E-10</v>
      </c>
      <c r="I75" s="3">
        <v>2.0000000000000001E-10</v>
      </c>
    </row>
    <row r="76" spans="1:9" x14ac:dyDescent="0.25">
      <c r="A76">
        <v>659.31180000000006</v>
      </c>
      <c r="B76">
        <f t="shared" si="1"/>
        <v>6.5931180000000012E-7</v>
      </c>
      <c r="D76" t="s">
        <v>10</v>
      </c>
      <c r="E76">
        <v>1</v>
      </c>
      <c r="G76">
        <v>8.9999999999999996E-12</v>
      </c>
      <c r="H76">
        <v>1.2500000000000001E-10</v>
      </c>
      <c r="I76" s="3">
        <v>2.0000000000000001E-10</v>
      </c>
    </row>
    <row r="77" spans="1:9" x14ac:dyDescent="0.25">
      <c r="A77">
        <v>659.32159999999999</v>
      </c>
      <c r="B77">
        <f t="shared" si="1"/>
        <v>6.5932159999999998E-7</v>
      </c>
      <c r="D77" t="s">
        <v>10</v>
      </c>
      <c r="E77">
        <v>0</v>
      </c>
      <c r="G77">
        <v>8.9999999999999996E-12</v>
      </c>
      <c r="H77">
        <v>1.2500000000000001E-10</v>
      </c>
      <c r="I77" s="3">
        <v>2.0000000000000001E-10</v>
      </c>
    </row>
    <row r="78" spans="1:9" x14ac:dyDescent="0.25">
      <c r="A78">
        <v>659.41600000000005</v>
      </c>
      <c r="B78">
        <f t="shared" si="1"/>
        <v>6.5941600000000011E-7</v>
      </c>
      <c r="D78" t="s">
        <v>10</v>
      </c>
      <c r="E78">
        <v>0</v>
      </c>
      <c r="G78">
        <v>8.9999999999999996E-12</v>
      </c>
      <c r="H78">
        <v>1.2500000000000001E-10</v>
      </c>
      <c r="I78" s="3">
        <v>2.0000000000000001E-10</v>
      </c>
    </row>
    <row r="79" spans="1:9" x14ac:dyDescent="0.25">
      <c r="A79">
        <v>659.44470000000001</v>
      </c>
      <c r="B79">
        <f t="shared" si="1"/>
        <v>6.5944470000000004E-7</v>
      </c>
      <c r="D79" t="s">
        <v>10</v>
      </c>
      <c r="E79">
        <v>0</v>
      </c>
      <c r="G79">
        <v>8.9999999999999996E-12</v>
      </c>
      <c r="H79">
        <v>1.2500000000000001E-10</v>
      </c>
      <c r="I79" s="3">
        <v>2.0000000000000001E-10</v>
      </c>
    </row>
    <row r="80" spans="1:9" x14ac:dyDescent="0.25">
      <c r="A80">
        <v>659.60069999999996</v>
      </c>
      <c r="B80">
        <f t="shared" si="1"/>
        <v>6.596007E-7</v>
      </c>
      <c r="D80" t="s">
        <v>10</v>
      </c>
      <c r="E80">
        <v>0</v>
      </c>
      <c r="G80">
        <v>8.9999999999999996E-12</v>
      </c>
      <c r="H80">
        <v>1.2500000000000001E-10</v>
      </c>
      <c r="I80" s="3">
        <v>2.0000000000000001E-10</v>
      </c>
    </row>
    <row r="81" spans="1:9" x14ac:dyDescent="0.25">
      <c r="A81">
        <v>659.72569999999996</v>
      </c>
      <c r="B81">
        <f t="shared" si="1"/>
        <v>6.5972569999999996E-7</v>
      </c>
      <c r="D81" t="s">
        <v>10</v>
      </c>
      <c r="E81">
        <v>0</v>
      </c>
      <c r="G81">
        <v>8.9999999999999996E-12</v>
      </c>
      <c r="H81">
        <v>1.2500000000000001E-10</v>
      </c>
      <c r="I81" s="3">
        <v>2.0000000000000001E-10</v>
      </c>
    </row>
    <row r="82" spans="1:9" x14ac:dyDescent="0.25">
      <c r="A82">
        <v>659.73299999999995</v>
      </c>
      <c r="B82">
        <f t="shared" si="1"/>
        <v>6.5973299999999997E-7</v>
      </c>
      <c r="D82" t="s">
        <v>10</v>
      </c>
      <c r="E82">
        <v>0</v>
      </c>
      <c r="G82">
        <v>8.9999999999999996E-12</v>
      </c>
      <c r="H82">
        <v>1.2500000000000001E-10</v>
      </c>
      <c r="I82" s="3">
        <v>2.0000000000000001E-10</v>
      </c>
    </row>
    <row r="83" spans="1:9" x14ac:dyDescent="0.25">
      <c r="A83">
        <v>659.8442</v>
      </c>
      <c r="B83">
        <f t="shared" si="1"/>
        <v>6.5984420000000005E-7</v>
      </c>
      <c r="D83" t="s">
        <v>10</v>
      </c>
      <c r="E83">
        <v>0</v>
      </c>
      <c r="G83">
        <v>8.9999999999999996E-12</v>
      </c>
      <c r="H83">
        <v>1.2500000000000001E-10</v>
      </c>
      <c r="I83" s="3">
        <v>2.0000000000000001E-10</v>
      </c>
    </row>
    <row r="84" spans="1:9" x14ac:dyDescent="0.25">
      <c r="A84">
        <v>659.86159999999995</v>
      </c>
      <c r="B84">
        <f t="shared" si="1"/>
        <v>6.5986159999999996E-7</v>
      </c>
      <c r="D84" t="s">
        <v>10</v>
      </c>
      <c r="E84">
        <v>1</v>
      </c>
      <c r="G84">
        <v>8.9999999999999996E-12</v>
      </c>
      <c r="H84">
        <v>1.2500000000000001E-10</v>
      </c>
      <c r="I84" s="3">
        <v>2.0000000000000001E-10</v>
      </c>
    </row>
    <row r="85" spans="1:9" x14ac:dyDescent="0.25">
      <c r="A85">
        <v>659.98579999999993</v>
      </c>
      <c r="B85">
        <f t="shared" si="1"/>
        <v>6.5998579999999998E-7</v>
      </c>
      <c r="D85" t="s">
        <v>10</v>
      </c>
      <c r="E85">
        <v>0</v>
      </c>
      <c r="G85">
        <v>8.9999999999999996E-12</v>
      </c>
      <c r="H85">
        <v>1.2500000000000001E-10</v>
      </c>
      <c r="I85" s="3">
        <v>2.0000000000000001E-10</v>
      </c>
    </row>
    <row r="86" spans="1:9" x14ac:dyDescent="0.25">
      <c r="A86">
        <v>660.00470000000007</v>
      </c>
      <c r="B86">
        <f t="shared" si="1"/>
        <v>6.6000470000000014E-7</v>
      </c>
      <c r="D86" t="s">
        <v>10</v>
      </c>
      <c r="E86">
        <v>0</v>
      </c>
      <c r="G86">
        <v>8.9999999999999996E-12</v>
      </c>
      <c r="H86">
        <v>1.2500000000000001E-10</v>
      </c>
      <c r="I86" s="3">
        <v>2.0000000000000001E-10</v>
      </c>
    </row>
    <row r="87" spans="1:9" x14ac:dyDescent="0.25">
      <c r="A87">
        <v>660.04390000000001</v>
      </c>
      <c r="B87">
        <f t="shared" si="1"/>
        <v>6.6004390000000004E-7</v>
      </c>
      <c r="D87" t="s">
        <v>10</v>
      </c>
      <c r="E87">
        <v>0</v>
      </c>
      <c r="G87">
        <v>8.9999999999999996E-12</v>
      </c>
      <c r="H87">
        <v>1.2500000000000001E-10</v>
      </c>
      <c r="I87" s="3">
        <v>2.0000000000000001E-10</v>
      </c>
    </row>
    <row r="88" spans="1:9" x14ac:dyDescent="0.25">
      <c r="A88">
        <v>660.12560000000008</v>
      </c>
      <c r="B88">
        <f t="shared" si="1"/>
        <v>6.6012560000000015E-7</v>
      </c>
      <c r="D88" t="s">
        <v>10</v>
      </c>
      <c r="E88">
        <v>0</v>
      </c>
      <c r="G88">
        <v>8.9999999999999996E-12</v>
      </c>
      <c r="H88">
        <v>1.2500000000000001E-10</v>
      </c>
      <c r="I88" s="3">
        <v>2.0000000000000001E-10</v>
      </c>
    </row>
    <row r="89" spans="1:9" x14ac:dyDescent="0.25">
      <c r="A89">
        <v>660.22379999999998</v>
      </c>
      <c r="B89">
        <f t="shared" si="1"/>
        <v>6.6022379999999999E-7</v>
      </c>
      <c r="D89" t="s">
        <v>10</v>
      </c>
      <c r="E89">
        <v>0</v>
      </c>
      <c r="G89">
        <v>8.9999999999999996E-12</v>
      </c>
      <c r="H89">
        <v>1.2500000000000001E-10</v>
      </c>
      <c r="I89" s="3">
        <v>2.0000000000000001E-10</v>
      </c>
    </row>
    <row r="90" spans="1:9" x14ac:dyDescent="0.25">
      <c r="A90">
        <v>660.34629999999993</v>
      </c>
      <c r="B90">
        <f t="shared" si="1"/>
        <v>6.6034629999999998E-7</v>
      </c>
      <c r="D90" t="s">
        <v>10</v>
      </c>
      <c r="E90">
        <v>0</v>
      </c>
      <c r="G90">
        <v>8.9999999999999996E-12</v>
      </c>
      <c r="H90">
        <v>1.2500000000000001E-10</v>
      </c>
      <c r="I90" s="3">
        <v>2.0000000000000001E-10</v>
      </c>
    </row>
    <row r="91" spans="1:9" x14ac:dyDescent="0.25">
      <c r="A91">
        <v>660.44140000000004</v>
      </c>
      <c r="B91">
        <f t="shared" si="1"/>
        <v>6.6044140000000011E-7</v>
      </c>
      <c r="D91" t="s">
        <v>10</v>
      </c>
      <c r="E91">
        <v>0</v>
      </c>
      <c r="G91">
        <v>8.9999999999999996E-12</v>
      </c>
      <c r="H91">
        <v>1.2500000000000001E-10</v>
      </c>
      <c r="I91" s="3">
        <v>2.0000000000000001E-10</v>
      </c>
    </row>
    <row r="92" spans="1:9" x14ac:dyDescent="0.25">
      <c r="A92">
        <v>660.51190000000008</v>
      </c>
      <c r="B92">
        <f t="shared" si="1"/>
        <v>6.6051190000000015E-7</v>
      </c>
      <c r="D92" t="s">
        <v>10</v>
      </c>
      <c r="E92">
        <v>0</v>
      </c>
      <c r="G92">
        <v>8.9999999999999996E-12</v>
      </c>
      <c r="H92">
        <v>1.2500000000000001E-10</v>
      </c>
      <c r="I92" s="3">
        <v>2.0000000000000001E-10</v>
      </c>
    </row>
    <row r="93" spans="1:9" x14ac:dyDescent="0.25">
      <c r="A93">
        <v>660.65070000000003</v>
      </c>
      <c r="B93">
        <f t="shared" si="1"/>
        <v>6.6065070000000008E-7</v>
      </c>
      <c r="D93" t="s">
        <v>10</v>
      </c>
      <c r="E93">
        <v>0</v>
      </c>
      <c r="G93">
        <v>8.9999999999999996E-12</v>
      </c>
      <c r="H93">
        <v>1.2500000000000001E-10</v>
      </c>
      <c r="I93" s="3">
        <v>2.0000000000000001E-10</v>
      </c>
    </row>
    <row r="94" spans="1:9" x14ac:dyDescent="0.25">
      <c r="A94">
        <v>660.71709999999996</v>
      </c>
      <c r="B94">
        <f t="shared" si="1"/>
        <v>6.6071709999999997E-7</v>
      </c>
      <c r="D94" t="s">
        <v>10</v>
      </c>
      <c r="E94">
        <v>1</v>
      </c>
      <c r="G94">
        <v>8.9999999999999996E-12</v>
      </c>
      <c r="H94">
        <v>1.2500000000000001E-10</v>
      </c>
      <c r="I94" s="3">
        <v>2.0000000000000001E-10</v>
      </c>
    </row>
    <row r="95" spans="1:9" x14ac:dyDescent="0.25">
      <c r="A95">
        <v>660.82489999999996</v>
      </c>
      <c r="B95">
        <f t="shared" si="1"/>
        <v>6.608249E-7</v>
      </c>
      <c r="D95" t="s">
        <v>10</v>
      </c>
      <c r="E95">
        <v>0</v>
      </c>
      <c r="G95">
        <v>8.9999999999999996E-12</v>
      </c>
      <c r="H95">
        <v>1.2500000000000001E-10</v>
      </c>
      <c r="I95" s="3">
        <v>2.0000000000000001E-10</v>
      </c>
    </row>
    <row r="96" spans="1:9" x14ac:dyDescent="0.25">
      <c r="A96">
        <v>660.84890000000007</v>
      </c>
      <c r="B96">
        <f t="shared" si="1"/>
        <v>6.6084890000000013E-7</v>
      </c>
      <c r="D96" t="s">
        <v>10</v>
      </c>
      <c r="E96">
        <v>1</v>
      </c>
      <c r="G96">
        <v>8.9999999999999996E-12</v>
      </c>
      <c r="H96">
        <v>1.2500000000000001E-10</v>
      </c>
      <c r="I96" s="3">
        <v>2.0000000000000001E-10</v>
      </c>
    </row>
    <row r="97" spans="1:10" x14ac:dyDescent="0.25">
      <c r="A97">
        <v>660.90300000000002</v>
      </c>
      <c r="B97">
        <f t="shared" si="1"/>
        <v>6.6090300000000008E-7</v>
      </c>
      <c r="C97" t="s">
        <v>7</v>
      </c>
      <c r="D97" t="s">
        <v>10</v>
      </c>
      <c r="E97">
        <v>1</v>
      </c>
      <c r="G97">
        <v>8.9999999999999996E-12</v>
      </c>
      <c r="H97">
        <v>1.2500000000000001E-10</v>
      </c>
      <c r="I97" s="3">
        <v>3E-10</v>
      </c>
      <c r="J97" t="s">
        <v>19</v>
      </c>
    </row>
    <row r="98" spans="1:10" x14ac:dyDescent="0.25">
      <c r="A98">
        <v>660.94269999999995</v>
      </c>
      <c r="B98">
        <f t="shared" si="1"/>
        <v>6.6094269999999999E-7</v>
      </c>
      <c r="D98" t="s">
        <v>10</v>
      </c>
      <c r="E98">
        <v>0</v>
      </c>
      <c r="G98">
        <v>8.9999999999999996E-12</v>
      </c>
      <c r="H98">
        <v>1.2500000000000001E-10</v>
      </c>
      <c r="I98" s="3">
        <v>2.0000000000000001E-10</v>
      </c>
    </row>
  </sheetData>
  <conditionalFormatting sqref="B1:B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5AD6-8E45-4A83-A476-F97DDCBB2C5D}">
  <dimension ref="A1:I99"/>
  <sheetViews>
    <sheetView tabSelected="1" workbookViewId="0"/>
  </sheetViews>
  <sheetFormatPr defaultRowHeight="15" x14ac:dyDescent="0.25"/>
  <cols>
    <col min="1" max="1" width="12.85546875" style="5" customWidth="1"/>
    <col min="2" max="2" width="12" bestFit="1" customWidth="1"/>
    <col min="3" max="3" width="17.140625" customWidth="1"/>
    <col min="6" max="7" width="12.7109375" style="3" customWidth="1"/>
    <col min="8" max="8" width="12.140625" style="3" customWidth="1"/>
  </cols>
  <sheetData>
    <row r="1" spans="1:9" ht="60" x14ac:dyDescent="0.25">
      <c r="A1" s="4" t="s">
        <v>0</v>
      </c>
      <c r="B1" s="2" t="s">
        <v>11</v>
      </c>
      <c r="C1" s="2" t="s">
        <v>14</v>
      </c>
      <c r="D1" s="2" t="s">
        <v>1</v>
      </c>
      <c r="E1" s="2" t="s">
        <v>2</v>
      </c>
      <c r="F1" s="6" t="s">
        <v>3</v>
      </c>
      <c r="G1" s="6" t="s">
        <v>8</v>
      </c>
      <c r="H1" s="6" t="s">
        <v>12</v>
      </c>
      <c r="I1" s="2" t="s">
        <v>13</v>
      </c>
    </row>
    <row r="2" spans="1:9" x14ac:dyDescent="0.25">
      <c r="A2" s="5">
        <f>IF('Line finding'!$B2="","",'Line finding'!B2)</f>
        <v>6.5139639999999999E-7</v>
      </c>
      <c r="B2" s="5" t="str">
        <f>IF('Line finding'!$B2="","",IF(ISBLANK('Line finding'!C2),"",'Line finding'!C2))</f>
        <v/>
      </c>
      <c r="C2" s="5" t="str">
        <f>IF('Line finding'!$B2="","",IF(ISBLANK('Line finding'!D2),"",'Line finding'!D2))</f>
        <v>VoigtApparatus</v>
      </c>
      <c r="D2">
        <f>IF('Line finding'!$B2="","",IF(ISBLANK('Line finding'!E2),"",'Line finding'!E2))</f>
        <v>0</v>
      </c>
      <c r="E2" t="str">
        <f>IF('Line finding'!$B2="","",IF(ISBLANK('Line finding'!F2),"",'Line finding'!F2))</f>
        <v/>
      </c>
      <c r="F2" s="3">
        <f>IF('Line finding'!$B2="","",IF(ISBLANK('Line finding'!G2),"",'Line finding'!G2))</f>
        <v>8.9999999999999996E-12</v>
      </c>
      <c r="G2" s="3">
        <f>IF('Line finding'!$B2="","",IF(ISBLANK('Line finding'!H2),"",'Line finding'!H2))</f>
        <v>1.2500000000000001E-10</v>
      </c>
      <c r="H2" s="3">
        <f>IF('Line finding'!$B2="","",IF(ISBLANK('Line finding'!I2),"",'Line finding'!I2))</f>
        <v>2.0000000000000001E-10</v>
      </c>
      <c r="I2" s="5" t="str">
        <f>IF('Line finding'!$B2="","",IF(ISBLANK('Line finding'!J2),"",'Line finding'!J2))</f>
        <v/>
      </c>
    </row>
    <row r="3" spans="1:9" x14ac:dyDescent="0.25">
      <c r="A3" s="5">
        <f>IF('Line finding'!$B3="","",'Line finding'!B3)</f>
        <v>6.5152750000000005E-7</v>
      </c>
      <c r="B3" s="5" t="str">
        <f>IF('Line finding'!$B3="","",IF(ISBLANK('Line finding'!C3),"",'Line finding'!C3))</f>
        <v/>
      </c>
      <c r="C3" s="5" t="str">
        <f>IF('Line finding'!$B3="","",IF(ISBLANK('Line finding'!D3),"",'Line finding'!D3))</f>
        <v>VoigtApparatus</v>
      </c>
      <c r="D3">
        <f>IF('Line finding'!$B3="","",IF(ISBLANK('Line finding'!E3),"",'Line finding'!E3))</f>
        <v>0</v>
      </c>
      <c r="E3" t="str">
        <f>IF('Line finding'!$B3="","",IF(ISBLANK('Line finding'!F3),"",'Line finding'!F3))</f>
        <v/>
      </c>
      <c r="F3" s="3">
        <f>IF('Line finding'!$B3="","",IF(ISBLANK('Line finding'!G3),"",'Line finding'!G3))</f>
        <v>8.9999999999999996E-12</v>
      </c>
      <c r="G3" s="3">
        <f>IF('Line finding'!$B3="","",IF(ISBLANK('Line finding'!H3),"",'Line finding'!H3))</f>
        <v>1.2500000000000001E-10</v>
      </c>
      <c r="H3" s="3">
        <f>IF('Line finding'!$B3="","",IF(ISBLANK('Line finding'!I3),"",'Line finding'!I3))</f>
        <v>2.0000000000000001E-10</v>
      </c>
      <c r="I3" s="5" t="str">
        <f>IF('Line finding'!$B3="","",IF(ISBLANK('Line finding'!J3),"",'Line finding'!J3))</f>
        <v/>
      </c>
    </row>
    <row r="4" spans="1:9" x14ac:dyDescent="0.25">
      <c r="A4" s="5">
        <f>IF('Line finding'!$B4="","",'Line finding'!B4)</f>
        <v>6.5172270000000012E-7</v>
      </c>
      <c r="B4" s="5" t="str">
        <f>IF('Line finding'!$B4="","",IF(ISBLANK('Line finding'!C4),"",'Line finding'!C4))</f>
        <v/>
      </c>
      <c r="C4" s="5" t="str">
        <f>IF('Line finding'!$B4="","",IF(ISBLANK('Line finding'!D4),"",'Line finding'!D4))</f>
        <v>VoigtApparatus</v>
      </c>
      <c r="D4">
        <f>IF('Line finding'!$B4="","",IF(ISBLANK('Line finding'!E4),"",'Line finding'!E4))</f>
        <v>0</v>
      </c>
      <c r="E4" t="str">
        <f>IF('Line finding'!$B4="","",IF(ISBLANK('Line finding'!F4),"",'Line finding'!F4))</f>
        <v/>
      </c>
      <c r="F4" s="3">
        <f>IF('Line finding'!$B4="","",IF(ISBLANK('Line finding'!G4),"",'Line finding'!G4))</f>
        <v>8.9999999999999996E-12</v>
      </c>
      <c r="G4" s="3">
        <f>IF('Line finding'!$B4="","",IF(ISBLANK('Line finding'!H4),"",'Line finding'!H4))</f>
        <v>1.2500000000000001E-10</v>
      </c>
      <c r="H4" s="3">
        <f>IF('Line finding'!$B4="","",IF(ISBLANK('Line finding'!I4),"",'Line finding'!I4))</f>
        <v>2.0000000000000001E-10</v>
      </c>
      <c r="I4" s="5" t="str">
        <f>IF('Line finding'!$B4="","",IF(ISBLANK('Line finding'!J4),"",'Line finding'!J4))</f>
        <v/>
      </c>
    </row>
    <row r="5" spans="1:9" x14ac:dyDescent="0.25">
      <c r="A5" s="5">
        <f>IF('Line finding'!$B5="","",'Line finding'!B5)</f>
        <v>6.5172989999999998E-7</v>
      </c>
      <c r="B5" s="5" t="str">
        <f>IF('Line finding'!$B5="","",IF(ISBLANK('Line finding'!C5),"",'Line finding'!C5))</f>
        <v/>
      </c>
      <c r="C5" s="5" t="str">
        <f>IF('Line finding'!$B5="","",IF(ISBLANK('Line finding'!D5),"",'Line finding'!D5))</f>
        <v>VoigtApparatus</v>
      </c>
      <c r="D5">
        <f>IF('Line finding'!$B5="","",IF(ISBLANK('Line finding'!E5),"",'Line finding'!E5))</f>
        <v>1</v>
      </c>
      <c r="E5" t="str">
        <f>IF('Line finding'!$B5="","",IF(ISBLANK('Line finding'!F5),"",'Line finding'!F5))</f>
        <v/>
      </c>
      <c r="F5" s="3">
        <f>IF('Line finding'!$B5="","",IF(ISBLANK('Line finding'!G5),"",'Line finding'!G5))</f>
        <v>8.9999999999999996E-12</v>
      </c>
      <c r="G5" s="3">
        <f>IF('Line finding'!$B5="","",IF(ISBLANK('Line finding'!H5),"",'Line finding'!H5))</f>
        <v>1.2500000000000001E-10</v>
      </c>
      <c r="H5" s="3">
        <f>IF('Line finding'!$B5="","",IF(ISBLANK('Line finding'!I5),"",'Line finding'!I5))</f>
        <v>2.0000000000000001E-10</v>
      </c>
      <c r="I5" s="5" t="str">
        <f>IF('Line finding'!$B5="","",IF(ISBLANK('Line finding'!J5),"",'Line finding'!J5))</f>
        <v/>
      </c>
    </row>
    <row r="6" spans="1:9" x14ac:dyDescent="0.25">
      <c r="A6" s="5">
        <f>IF('Line finding'!$B6="","",'Line finding'!B6)</f>
        <v>6.5183660000000015E-7</v>
      </c>
      <c r="B6" s="5" t="str">
        <f>IF('Line finding'!$B6="","",IF(ISBLANK('Line finding'!C6),"",'Line finding'!C6))</f>
        <v/>
      </c>
      <c r="C6" s="5" t="str">
        <f>IF('Line finding'!$B6="","",IF(ISBLANK('Line finding'!D6),"",'Line finding'!D6))</f>
        <v>VoigtApparatus</v>
      </c>
      <c r="D6">
        <f>IF('Line finding'!$B6="","",IF(ISBLANK('Line finding'!E6),"",'Line finding'!E6))</f>
        <v>0</v>
      </c>
      <c r="E6" t="str">
        <f>IF('Line finding'!$B6="","",IF(ISBLANK('Line finding'!F6),"",'Line finding'!F6))</f>
        <v/>
      </c>
      <c r="F6" s="3">
        <f>IF('Line finding'!$B6="","",IF(ISBLANK('Line finding'!G6),"",'Line finding'!G6))</f>
        <v>8.9999999999999996E-12</v>
      </c>
      <c r="G6" s="3">
        <f>IF('Line finding'!$B6="","",IF(ISBLANK('Line finding'!H6),"",'Line finding'!H6))</f>
        <v>1.2500000000000001E-10</v>
      </c>
      <c r="H6" s="3">
        <f>IF('Line finding'!$B6="","",IF(ISBLANK('Line finding'!I6),"",'Line finding'!I6))</f>
        <v>2.0000000000000001E-10</v>
      </c>
      <c r="I6" s="5" t="str">
        <f>IF('Line finding'!$B6="","",IF(ISBLANK('Line finding'!J6),"",'Line finding'!J6))</f>
        <v/>
      </c>
    </row>
    <row r="7" spans="1:9" x14ac:dyDescent="0.25">
      <c r="A7" s="5">
        <f>IF('Line finding'!$B7="","",'Line finding'!B7)</f>
        <v>6.5198300000000013E-7</v>
      </c>
      <c r="B7" s="5" t="str">
        <f>IF('Line finding'!$B7="","",IF(ISBLANK('Line finding'!C7),"",'Line finding'!C7))</f>
        <v>Mo1</v>
      </c>
      <c r="C7" s="5" t="str">
        <f>IF('Line finding'!$B7="","",IF(ISBLANK('Line finding'!D7),"",'Line finding'!D7))</f>
        <v>VoigtApparatus</v>
      </c>
      <c r="D7">
        <f>IF('Line finding'!$B7="","",IF(ISBLANK('Line finding'!E7),"",'Line finding'!E7))</f>
        <v>1</v>
      </c>
      <c r="E7" t="str">
        <f>IF('Line finding'!$B7="","",IF(ISBLANK('Line finding'!F7),"",'Line finding'!F7))</f>
        <v/>
      </c>
      <c r="F7" s="3">
        <f>IF('Line finding'!$B7="","",IF(ISBLANK('Line finding'!G7),"",'Line finding'!G7))</f>
        <v>8.9999999999999996E-12</v>
      </c>
      <c r="G7" s="3">
        <f>IF('Line finding'!$B7="","",IF(ISBLANK('Line finding'!H7),"",'Line finding'!H7))</f>
        <v>1.2500000000000001E-10</v>
      </c>
      <c r="H7" s="3">
        <f>IF('Line finding'!$B7="","",IF(ISBLANK('Line finding'!I7),"",'Line finding'!I7))</f>
        <v>3E-10</v>
      </c>
      <c r="I7" s="5" t="str">
        <f>IF('Line finding'!$B7="","",IF(ISBLANK('Line finding'!J7),"",'Line finding'!J7))</f>
        <v>$apparatus = 0.0467081e-9; $Mo1_width_var = $apparatus + (1.25e-10 - $apparatus) / 2 * sin(~1.5); shape = $Mo1_width_var</v>
      </c>
    </row>
    <row r="8" spans="1:9" x14ac:dyDescent="0.25">
      <c r="A8" s="5">
        <f>IF('Line finding'!$B8="","",'Line finding'!B8)</f>
        <v>6.5214850000000004E-7</v>
      </c>
      <c r="B8" s="5" t="str">
        <f>IF('Line finding'!$B8="","",IF(ISBLANK('Line finding'!C8),"",'Line finding'!C8))</f>
        <v/>
      </c>
      <c r="C8" s="5" t="str">
        <f>IF('Line finding'!$B8="","",IF(ISBLANK('Line finding'!D8),"",'Line finding'!D8))</f>
        <v>VoigtApparatus</v>
      </c>
      <c r="D8">
        <f>IF('Line finding'!$B8="","",IF(ISBLANK('Line finding'!E8),"",'Line finding'!E8))</f>
        <v>0</v>
      </c>
      <c r="E8" t="str">
        <f>IF('Line finding'!$B8="","",IF(ISBLANK('Line finding'!F8),"",'Line finding'!F8))</f>
        <v/>
      </c>
      <c r="F8" s="3">
        <f>IF('Line finding'!$B8="","",IF(ISBLANK('Line finding'!G8),"",'Line finding'!G8))</f>
        <v>8.9999999999999996E-12</v>
      </c>
      <c r="G8" s="3">
        <f>IF('Line finding'!$B8="","",IF(ISBLANK('Line finding'!H8),"",'Line finding'!H8))</f>
        <v>1.2500000000000001E-10</v>
      </c>
      <c r="H8" s="3">
        <f>IF('Line finding'!$B8="","",IF(ISBLANK('Line finding'!I8),"",'Line finding'!I8))</f>
        <v>2.0000000000000001E-10</v>
      </c>
      <c r="I8" s="5" t="str">
        <f>IF('Line finding'!$B8="","",IF(ISBLANK('Line finding'!J8),"",'Line finding'!J8))</f>
        <v/>
      </c>
    </row>
    <row r="9" spans="1:9" x14ac:dyDescent="0.25">
      <c r="A9" s="5">
        <f>IF('Line finding'!$B9="","",'Line finding'!B9)</f>
        <v>6.5218309999999998E-7</v>
      </c>
      <c r="B9" s="5" t="str">
        <f>IF('Line finding'!$B9="","",IF(ISBLANK('Line finding'!C9),"",'Line finding'!C9))</f>
        <v/>
      </c>
      <c r="C9" s="5" t="str">
        <f>IF('Line finding'!$B9="","",IF(ISBLANK('Line finding'!D9),"",'Line finding'!D9))</f>
        <v>VoigtApparatus</v>
      </c>
      <c r="D9">
        <f>IF('Line finding'!$B9="","",IF(ISBLANK('Line finding'!E9),"",'Line finding'!E9))</f>
        <v>0</v>
      </c>
      <c r="E9" t="str">
        <f>IF('Line finding'!$B9="","",IF(ISBLANK('Line finding'!F9),"",'Line finding'!F9))</f>
        <v/>
      </c>
      <c r="F9" s="3">
        <f>IF('Line finding'!$B9="","",IF(ISBLANK('Line finding'!G9),"",'Line finding'!G9))</f>
        <v>8.9999999999999996E-12</v>
      </c>
      <c r="G9" s="3">
        <f>IF('Line finding'!$B9="","",IF(ISBLANK('Line finding'!H9),"",'Line finding'!H9))</f>
        <v>1.2500000000000001E-10</v>
      </c>
      <c r="H9" s="3">
        <f>IF('Line finding'!$B9="","",IF(ISBLANK('Line finding'!I9),"",'Line finding'!I9))</f>
        <v>2.0000000000000001E-10</v>
      </c>
      <c r="I9" s="5" t="str">
        <f>IF('Line finding'!$B9="","",IF(ISBLANK('Line finding'!J9),"",'Line finding'!J9))</f>
        <v/>
      </c>
    </row>
    <row r="10" spans="1:9" x14ac:dyDescent="0.25">
      <c r="A10" s="5">
        <f>IF('Line finding'!$B10="","",'Line finding'!B10)</f>
        <v>6.5230419999999997E-7</v>
      </c>
      <c r="B10" s="5" t="str">
        <f>IF('Line finding'!$B10="","",IF(ISBLANK('Line finding'!C10),"",'Line finding'!C10))</f>
        <v/>
      </c>
      <c r="C10" s="5" t="str">
        <f>IF('Line finding'!$B10="","",IF(ISBLANK('Line finding'!D10),"",'Line finding'!D10))</f>
        <v>VoigtApparatus</v>
      </c>
      <c r="D10">
        <f>IF('Line finding'!$B10="","",IF(ISBLANK('Line finding'!E10),"",'Line finding'!E10))</f>
        <v>0</v>
      </c>
      <c r="E10" t="str">
        <f>IF('Line finding'!$B10="","",IF(ISBLANK('Line finding'!F10),"",'Line finding'!F10))</f>
        <v/>
      </c>
      <c r="F10" s="3">
        <f>IF('Line finding'!$B10="","",IF(ISBLANK('Line finding'!G10),"",'Line finding'!G10))</f>
        <v>8.9999999999999996E-12</v>
      </c>
      <c r="G10" s="3">
        <f>IF('Line finding'!$B10="","",IF(ISBLANK('Line finding'!H10),"",'Line finding'!H10))</f>
        <v>1.2500000000000001E-10</v>
      </c>
      <c r="H10" s="3">
        <f>IF('Line finding'!$B10="","",IF(ISBLANK('Line finding'!I10),"",'Line finding'!I10))</f>
        <v>2.0000000000000001E-10</v>
      </c>
      <c r="I10" s="5" t="str">
        <f>IF('Line finding'!$B10="","",IF(ISBLANK('Line finding'!J10),"",'Line finding'!J10))</f>
        <v/>
      </c>
    </row>
    <row r="11" spans="1:9" x14ac:dyDescent="0.25">
      <c r="A11" s="5">
        <f>IF('Line finding'!$B11="","",'Line finding'!B11)</f>
        <v>6.5236050000000007E-7</v>
      </c>
      <c r="B11" s="5" t="str">
        <f>IF('Line finding'!$B11="","",IF(ISBLANK('Line finding'!C11),"",'Line finding'!C11))</f>
        <v/>
      </c>
      <c r="C11" s="5" t="str">
        <f>IF('Line finding'!$B11="","",IF(ISBLANK('Line finding'!D11),"",'Line finding'!D11))</f>
        <v>VoigtApparatus</v>
      </c>
      <c r="D11">
        <f>IF('Line finding'!$B11="","",IF(ISBLANK('Line finding'!E11),"",'Line finding'!E11))</f>
        <v>0</v>
      </c>
      <c r="E11" t="str">
        <f>IF('Line finding'!$B11="","",IF(ISBLANK('Line finding'!F11),"",'Line finding'!F11))</f>
        <v/>
      </c>
      <c r="F11" s="3">
        <f>IF('Line finding'!$B11="","",IF(ISBLANK('Line finding'!G11),"",'Line finding'!G11))</f>
        <v>8.9999999999999996E-12</v>
      </c>
      <c r="G11" s="3">
        <f>IF('Line finding'!$B11="","",IF(ISBLANK('Line finding'!H11),"",'Line finding'!H11))</f>
        <v>1.2500000000000001E-10</v>
      </c>
      <c r="H11" s="3">
        <f>IF('Line finding'!$B11="","",IF(ISBLANK('Line finding'!I11),"",'Line finding'!I11))</f>
        <v>2.0000000000000001E-10</v>
      </c>
      <c r="I11" s="5" t="str">
        <f>IF('Line finding'!$B11="","",IF(ISBLANK('Line finding'!J11),"",'Line finding'!J11))</f>
        <v/>
      </c>
    </row>
    <row r="12" spans="1:9" x14ac:dyDescent="0.25">
      <c r="A12" s="5">
        <f>IF('Line finding'!$B12="","",'Line finding'!B12)</f>
        <v>6.5260479999999995E-7</v>
      </c>
      <c r="B12" s="5" t="str">
        <f>IF('Line finding'!$B12="","",IF(ISBLANK('Line finding'!C12),"",'Line finding'!C12))</f>
        <v/>
      </c>
      <c r="C12" s="5" t="str">
        <f>IF('Line finding'!$B12="","",IF(ISBLANK('Line finding'!D12),"",'Line finding'!D12))</f>
        <v>VoigtApparatus</v>
      </c>
      <c r="D12">
        <f>IF('Line finding'!$B12="","",IF(ISBLANK('Line finding'!E12),"",'Line finding'!E12))</f>
        <v>0</v>
      </c>
      <c r="E12" t="str">
        <f>IF('Line finding'!$B12="","",IF(ISBLANK('Line finding'!F12),"",'Line finding'!F12))</f>
        <v/>
      </c>
      <c r="F12" s="3">
        <f>IF('Line finding'!$B12="","",IF(ISBLANK('Line finding'!G12),"",'Line finding'!G12))</f>
        <v>8.9999999999999996E-12</v>
      </c>
      <c r="G12" s="3">
        <f>IF('Line finding'!$B12="","",IF(ISBLANK('Line finding'!H12),"",'Line finding'!H12))</f>
        <v>1.2500000000000001E-10</v>
      </c>
      <c r="H12" s="3">
        <f>IF('Line finding'!$B12="","",IF(ISBLANK('Line finding'!I12),"",'Line finding'!I12))</f>
        <v>2.0000000000000001E-10</v>
      </c>
      <c r="I12" s="5" t="str">
        <f>IF('Line finding'!$B12="","",IF(ISBLANK('Line finding'!J12),"",'Line finding'!J12))</f>
        <v/>
      </c>
    </row>
    <row r="13" spans="1:9" x14ac:dyDescent="0.25">
      <c r="A13" s="5">
        <f>IF('Line finding'!$B13="","",'Line finding'!B13)</f>
        <v>6.5264400000000006E-7</v>
      </c>
      <c r="B13" s="5" t="str">
        <f>IF('Line finding'!$B13="","",IF(ISBLANK('Line finding'!C13),"",'Line finding'!C13))</f>
        <v/>
      </c>
      <c r="C13" s="5" t="str">
        <f>IF('Line finding'!$B13="","",IF(ISBLANK('Line finding'!D13),"",'Line finding'!D13))</f>
        <v>VoigtApparatus</v>
      </c>
      <c r="D13">
        <f>IF('Line finding'!$B13="","",IF(ISBLANK('Line finding'!E13),"",'Line finding'!E13))</f>
        <v>0</v>
      </c>
      <c r="E13" t="str">
        <f>IF('Line finding'!$B13="","",IF(ISBLANK('Line finding'!F13),"",'Line finding'!F13))</f>
        <v/>
      </c>
      <c r="F13" s="3">
        <f>IF('Line finding'!$B13="","",IF(ISBLANK('Line finding'!G13),"",'Line finding'!G13))</f>
        <v>8.9999999999999996E-12</v>
      </c>
      <c r="G13" s="3">
        <f>IF('Line finding'!$B13="","",IF(ISBLANK('Line finding'!H13),"",'Line finding'!H13))</f>
        <v>1.2500000000000001E-10</v>
      </c>
      <c r="H13" s="3">
        <f>IF('Line finding'!$B13="","",IF(ISBLANK('Line finding'!I13),"",'Line finding'!I13))</f>
        <v>2.0000000000000001E-10</v>
      </c>
      <c r="I13" s="5" t="str">
        <f>IF('Line finding'!$B13="","",IF(ISBLANK('Line finding'!J13),"",'Line finding'!J13))</f>
        <v/>
      </c>
    </row>
    <row r="14" spans="1:9" x14ac:dyDescent="0.25">
      <c r="A14" s="5">
        <f>IF('Line finding'!$B14="","",'Line finding'!B14)</f>
        <v>6.5268039999999996E-7</v>
      </c>
      <c r="B14" s="5" t="str">
        <f>IF('Line finding'!$B14="","",IF(ISBLANK('Line finding'!C14),"",'Line finding'!C14))</f>
        <v/>
      </c>
      <c r="C14" s="5" t="str">
        <f>IF('Line finding'!$B14="","",IF(ISBLANK('Line finding'!D14),"",'Line finding'!D14))</f>
        <v>VoigtApparatus</v>
      </c>
      <c r="D14">
        <f>IF('Line finding'!$B14="","",IF(ISBLANK('Line finding'!E14),"",'Line finding'!E14))</f>
        <v>0</v>
      </c>
      <c r="E14" t="str">
        <f>IF('Line finding'!$B14="","",IF(ISBLANK('Line finding'!F14),"",'Line finding'!F14))</f>
        <v/>
      </c>
      <c r="F14" s="3">
        <f>IF('Line finding'!$B14="","",IF(ISBLANK('Line finding'!G14),"",'Line finding'!G14))</f>
        <v>8.9999999999999996E-12</v>
      </c>
      <c r="G14" s="3">
        <f>IF('Line finding'!$B14="","",IF(ISBLANK('Line finding'!H14),"",'Line finding'!H14))</f>
        <v>1.2500000000000001E-10</v>
      </c>
      <c r="H14" s="3">
        <f>IF('Line finding'!$B14="","",IF(ISBLANK('Line finding'!I14),"",'Line finding'!I14))</f>
        <v>2.0000000000000001E-10</v>
      </c>
      <c r="I14" s="5" t="str">
        <f>IF('Line finding'!$B14="","",IF(ISBLANK('Line finding'!J14),"",'Line finding'!J14))</f>
        <v/>
      </c>
    </row>
    <row r="15" spans="1:9" x14ac:dyDescent="0.25">
      <c r="A15" s="5">
        <f>IF('Line finding'!$B15="","",'Line finding'!B15)</f>
        <v>6.5273710000000013E-7</v>
      </c>
      <c r="B15" s="5" t="str">
        <f>IF('Line finding'!$B15="","",IF(ISBLANK('Line finding'!C15),"",'Line finding'!C15))</f>
        <v/>
      </c>
      <c r="C15" s="5" t="str">
        <f>IF('Line finding'!$B15="","",IF(ISBLANK('Line finding'!D15),"",'Line finding'!D15))</f>
        <v>VoigtApparatus</v>
      </c>
      <c r="D15">
        <f>IF('Line finding'!$B15="","",IF(ISBLANK('Line finding'!E15),"",'Line finding'!E15))</f>
        <v>0</v>
      </c>
      <c r="E15" t="str">
        <f>IF('Line finding'!$B15="","",IF(ISBLANK('Line finding'!F15),"",'Line finding'!F15))</f>
        <v/>
      </c>
      <c r="F15" s="3">
        <f>IF('Line finding'!$B15="","",IF(ISBLANK('Line finding'!G15),"",'Line finding'!G15))</f>
        <v>8.9999999999999996E-12</v>
      </c>
      <c r="G15" s="3">
        <f>IF('Line finding'!$B15="","",IF(ISBLANK('Line finding'!H15),"",'Line finding'!H15))</f>
        <v>1.2500000000000001E-10</v>
      </c>
      <c r="H15" s="3">
        <f>IF('Line finding'!$B15="","",IF(ISBLANK('Line finding'!I15),"",'Line finding'!I15))</f>
        <v>2.0000000000000001E-10</v>
      </c>
      <c r="I15" s="5" t="str">
        <f>IF('Line finding'!$B15="","",IF(ISBLANK('Line finding'!J15),"",'Line finding'!J15))</f>
        <v/>
      </c>
    </row>
    <row r="16" spans="1:9" x14ac:dyDescent="0.25">
      <c r="A16" s="5">
        <f>IF('Line finding'!$B16="","",'Line finding'!B16)</f>
        <v>6.5296310000000012E-7</v>
      </c>
      <c r="B16" s="5" t="str">
        <f>IF('Line finding'!$B16="","",IF(ISBLANK('Line finding'!C16),"",'Line finding'!C16))</f>
        <v/>
      </c>
      <c r="C16" s="5" t="str">
        <f>IF('Line finding'!$B16="","",IF(ISBLANK('Line finding'!D16),"",'Line finding'!D16))</f>
        <v>VoigtApparatus</v>
      </c>
      <c r="D16">
        <f>IF('Line finding'!$B16="","",IF(ISBLANK('Line finding'!E16),"",'Line finding'!E16))</f>
        <v>0</v>
      </c>
      <c r="E16" t="str">
        <f>IF('Line finding'!$B16="","",IF(ISBLANK('Line finding'!F16),"",'Line finding'!F16))</f>
        <v/>
      </c>
      <c r="F16" s="3">
        <f>IF('Line finding'!$B16="","",IF(ISBLANK('Line finding'!G16),"",'Line finding'!G16))</f>
        <v>8.9999999999999996E-12</v>
      </c>
      <c r="G16" s="3">
        <f>IF('Line finding'!$B16="","",IF(ISBLANK('Line finding'!H16),"",'Line finding'!H16))</f>
        <v>1.2500000000000001E-10</v>
      </c>
      <c r="H16" s="3">
        <f>IF('Line finding'!$B16="","",IF(ISBLANK('Line finding'!I16),"",'Line finding'!I16))</f>
        <v>2.0000000000000001E-10</v>
      </c>
      <c r="I16" s="5" t="str">
        <f>IF('Line finding'!$B16="","",IF(ISBLANK('Line finding'!J16),"",'Line finding'!J16))</f>
        <v/>
      </c>
    </row>
    <row r="17" spans="1:9" x14ac:dyDescent="0.25">
      <c r="A17" s="5">
        <f>IF('Line finding'!$B17="","",'Line finding'!B17)</f>
        <v>6.531710000000001E-7</v>
      </c>
      <c r="B17" s="5" t="str">
        <f>IF('Line finding'!$B17="","",IF(ISBLANK('Line finding'!C17),"",'Line finding'!C17))</f>
        <v/>
      </c>
      <c r="C17" s="5" t="str">
        <f>IF('Line finding'!$B17="","",IF(ISBLANK('Line finding'!D17),"",'Line finding'!D17))</f>
        <v>VoigtApparatus</v>
      </c>
      <c r="D17">
        <f>IF('Line finding'!$B17="","",IF(ISBLANK('Line finding'!E17),"",'Line finding'!E17))</f>
        <v>0</v>
      </c>
      <c r="E17" t="str">
        <f>IF('Line finding'!$B17="","",IF(ISBLANK('Line finding'!F17),"",'Line finding'!F17))</f>
        <v/>
      </c>
      <c r="F17" s="3">
        <f>IF('Line finding'!$B17="","",IF(ISBLANK('Line finding'!G17),"",'Line finding'!G17))</f>
        <v>8.9999999999999996E-12</v>
      </c>
      <c r="G17" s="3">
        <f>IF('Line finding'!$B17="","",IF(ISBLANK('Line finding'!H17),"",'Line finding'!H17))</f>
        <v>1.2500000000000001E-10</v>
      </c>
      <c r="H17" s="3">
        <f>IF('Line finding'!$B17="","",IF(ISBLANK('Line finding'!I17),"",'Line finding'!I17))</f>
        <v>2.0000000000000001E-10</v>
      </c>
      <c r="I17" s="5" t="str">
        <f>IF('Line finding'!$B17="","",IF(ISBLANK('Line finding'!J17),"",'Line finding'!J17))</f>
        <v/>
      </c>
    </row>
    <row r="18" spans="1:9" x14ac:dyDescent="0.25">
      <c r="A18" s="5">
        <f>IF('Line finding'!$B18="","",'Line finding'!B18)</f>
        <v>6.5323800000000015E-7</v>
      </c>
      <c r="B18" s="5" t="str">
        <f>IF('Line finding'!$B18="","",IF(ISBLANK('Line finding'!C18),"",'Line finding'!C18))</f>
        <v>W1</v>
      </c>
      <c r="C18" s="5" t="str">
        <f>IF('Line finding'!$B18="","",IF(ISBLANK('Line finding'!D18),"",'Line finding'!D18))</f>
        <v>VoigtApparatus</v>
      </c>
      <c r="D18">
        <f>IF('Line finding'!$B18="","",IF(ISBLANK('Line finding'!E18),"",'Line finding'!E18))</f>
        <v>1</v>
      </c>
      <c r="E18" t="str">
        <f>IF('Line finding'!$B18="","",IF(ISBLANK('Line finding'!F18),"",'Line finding'!F18))</f>
        <v/>
      </c>
      <c r="F18" s="3">
        <f>IF('Line finding'!$B18="","",IF(ISBLANK('Line finding'!G18),"",'Line finding'!G18))</f>
        <v>8.9999999999999996E-12</v>
      </c>
      <c r="G18" s="3">
        <f>IF('Line finding'!$B18="","",IF(ISBLANK('Line finding'!H18),"",'Line finding'!H18))</f>
        <v>1.2500000000000001E-10</v>
      </c>
      <c r="H18" s="3">
        <f>IF('Line finding'!$B18="","",IF(ISBLANK('Line finding'!I18),"",'Line finding'!I18))</f>
        <v>3E-10</v>
      </c>
      <c r="I18" s="5" t="str">
        <f>IF('Line finding'!$B18="","",IF(ISBLANK('Line finding'!J18),"",'Line finding'!J18))</f>
        <v>$W1_width_var = $apparatus + (1.25e-10 - $apparatus) / 2 * sin(~1.5); shape = $W1_width_var</v>
      </c>
    </row>
    <row r="19" spans="1:9" x14ac:dyDescent="0.25">
      <c r="A19" s="5">
        <f>IF('Line finding'!$B19="","",'Line finding'!B19)</f>
        <v>6.5335490000000005E-7</v>
      </c>
      <c r="B19" s="5" t="str">
        <f>IF('Line finding'!$B19="","",IF(ISBLANK('Line finding'!C19),"",'Line finding'!C19))</f>
        <v/>
      </c>
      <c r="C19" s="5" t="str">
        <f>IF('Line finding'!$B19="","",IF(ISBLANK('Line finding'!D19),"",'Line finding'!D19))</f>
        <v>VoigtApparatus</v>
      </c>
      <c r="D19">
        <f>IF('Line finding'!$B19="","",IF(ISBLANK('Line finding'!E19),"",'Line finding'!E19))</f>
        <v>0</v>
      </c>
      <c r="E19" t="str">
        <f>IF('Line finding'!$B19="","",IF(ISBLANK('Line finding'!F19),"",'Line finding'!F19))</f>
        <v/>
      </c>
      <c r="F19" s="3">
        <f>IF('Line finding'!$B19="","",IF(ISBLANK('Line finding'!G19),"",'Line finding'!G19))</f>
        <v>8.9999999999999996E-12</v>
      </c>
      <c r="G19" s="3">
        <f>IF('Line finding'!$B19="","",IF(ISBLANK('Line finding'!H19),"",'Line finding'!H19))</f>
        <v>1.2500000000000001E-10</v>
      </c>
      <c r="H19" s="3">
        <f>IF('Line finding'!$B19="","",IF(ISBLANK('Line finding'!I19),"",'Line finding'!I19))</f>
        <v>2.0000000000000001E-10</v>
      </c>
      <c r="I19" s="5" t="str">
        <f>IF('Line finding'!$B19="","",IF(ISBLANK('Line finding'!J19),"",'Line finding'!J19))</f>
        <v/>
      </c>
    </row>
    <row r="20" spans="1:9" x14ac:dyDescent="0.25">
      <c r="A20" s="5">
        <f>IF('Line finding'!$B20="","",'Line finding'!B20)</f>
        <v>6.5339720000000007E-7</v>
      </c>
      <c r="B20" s="5" t="str">
        <f>IF('Line finding'!$B20="","",IF(ISBLANK('Line finding'!C20),"",'Line finding'!C20))</f>
        <v/>
      </c>
      <c r="C20" s="5" t="str">
        <f>IF('Line finding'!$B20="","",IF(ISBLANK('Line finding'!D20),"",'Line finding'!D20))</f>
        <v>VoigtApparatus</v>
      </c>
      <c r="D20">
        <f>IF('Line finding'!$B20="","",IF(ISBLANK('Line finding'!E20),"",'Line finding'!E20))</f>
        <v>0</v>
      </c>
      <c r="E20" t="str">
        <f>IF('Line finding'!$B20="","",IF(ISBLANK('Line finding'!F20),"",'Line finding'!F20))</f>
        <v/>
      </c>
      <c r="F20" s="3">
        <f>IF('Line finding'!$B20="","",IF(ISBLANK('Line finding'!G20),"",'Line finding'!G20))</f>
        <v>8.9999999999999996E-12</v>
      </c>
      <c r="G20" s="3">
        <f>IF('Line finding'!$B20="","",IF(ISBLANK('Line finding'!H20),"",'Line finding'!H20))</f>
        <v>1.2500000000000001E-10</v>
      </c>
      <c r="H20" s="3">
        <f>IF('Line finding'!$B20="","",IF(ISBLANK('Line finding'!I20),"",'Line finding'!I20))</f>
        <v>2.0000000000000001E-10</v>
      </c>
      <c r="I20" s="5" t="str">
        <f>IF('Line finding'!$B20="","",IF(ISBLANK('Line finding'!J20),"",'Line finding'!J20))</f>
        <v/>
      </c>
    </row>
    <row r="21" spans="1:9" x14ac:dyDescent="0.25">
      <c r="A21" s="5">
        <f>IF('Line finding'!$B21="","",'Line finding'!B21)</f>
        <v>6.5350869999999998E-7</v>
      </c>
      <c r="B21" s="5" t="str">
        <f>IF('Line finding'!$B21="","",IF(ISBLANK('Line finding'!C21),"",'Line finding'!C21))</f>
        <v/>
      </c>
      <c r="C21" s="5" t="str">
        <f>IF('Line finding'!$B21="","",IF(ISBLANK('Line finding'!D21),"",'Line finding'!D21))</f>
        <v>VoigtApparatus</v>
      </c>
      <c r="D21">
        <f>IF('Line finding'!$B21="","",IF(ISBLANK('Line finding'!E21),"",'Line finding'!E21))</f>
        <v>0</v>
      </c>
      <c r="E21" t="str">
        <f>IF('Line finding'!$B21="","",IF(ISBLANK('Line finding'!F21),"",'Line finding'!F21))</f>
        <v/>
      </c>
      <c r="F21" s="3">
        <f>IF('Line finding'!$B21="","",IF(ISBLANK('Line finding'!G21),"",'Line finding'!G21))</f>
        <v>8.9999999999999996E-12</v>
      </c>
      <c r="G21" s="3">
        <f>IF('Line finding'!$B21="","",IF(ISBLANK('Line finding'!H21),"",'Line finding'!H21))</f>
        <v>1.2500000000000001E-10</v>
      </c>
      <c r="H21" s="3">
        <f>IF('Line finding'!$B21="","",IF(ISBLANK('Line finding'!I21),"",'Line finding'!I21))</f>
        <v>2.0000000000000001E-10</v>
      </c>
      <c r="I21" s="5" t="str">
        <f>IF('Line finding'!$B21="","",IF(ISBLANK('Line finding'!J21),"",'Line finding'!J21))</f>
        <v/>
      </c>
    </row>
    <row r="22" spans="1:9" x14ac:dyDescent="0.25">
      <c r="A22" s="5">
        <f>IF('Line finding'!$B22="","",'Line finding'!B22)</f>
        <v>6.536430000000001E-7</v>
      </c>
      <c r="B22" s="5" t="str">
        <f>IF('Line finding'!$B22="","",IF(ISBLANK('Line finding'!C22),"",'Line finding'!C22))</f>
        <v/>
      </c>
      <c r="C22" s="5" t="str">
        <f>IF('Line finding'!$B22="","",IF(ISBLANK('Line finding'!D22),"",'Line finding'!D22))</f>
        <v>VoigtApparatus</v>
      </c>
      <c r="D22">
        <f>IF('Line finding'!$B22="","",IF(ISBLANK('Line finding'!E22),"",'Line finding'!E22))</f>
        <v>0</v>
      </c>
      <c r="E22" t="str">
        <f>IF('Line finding'!$B22="","",IF(ISBLANK('Line finding'!F22),"",'Line finding'!F22))</f>
        <v/>
      </c>
      <c r="F22" s="3">
        <f>IF('Line finding'!$B22="","",IF(ISBLANK('Line finding'!G22),"",'Line finding'!G22))</f>
        <v>8.9999999999999996E-12</v>
      </c>
      <c r="G22" s="3">
        <f>IF('Line finding'!$B22="","",IF(ISBLANK('Line finding'!H22),"",'Line finding'!H22))</f>
        <v>1.2500000000000001E-10</v>
      </c>
      <c r="H22" s="3">
        <f>IF('Line finding'!$B22="","",IF(ISBLANK('Line finding'!I22),"",'Line finding'!I22))</f>
        <v>2.0000000000000001E-10</v>
      </c>
      <c r="I22" s="5" t="str">
        <f>IF('Line finding'!$B22="","",IF(ISBLANK('Line finding'!J22),"",'Line finding'!J22))</f>
        <v/>
      </c>
    </row>
    <row r="23" spans="1:9" x14ac:dyDescent="0.25">
      <c r="A23" s="5">
        <f>IF('Line finding'!$B23="","",'Line finding'!B23)</f>
        <v>6.5365090000000007E-7</v>
      </c>
      <c r="B23" s="5" t="str">
        <f>IF('Line finding'!$B23="","",IF(ISBLANK('Line finding'!C23),"",'Line finding'!C23))</f>
        <v/>
      </c>
      <c r="C23" s="5" t="str">
        <f>IF('Line finding'!$B23="","",IF(ISBLANK('Line finding'!D23),"",'Line finding'!D23))</f>
        <v>VoigtApparatus</v>
      </c>
      <c r="D23">
        <f>IF('Line finding'!$B23="","",IF(ISBLANK('Line finding'!E23),"",'Line finding'!E23))</f>
        <v>0</v>
      </c>
      <c r="E23" t="str">
        <f>IF('Line finding'!$B23="","",IF(ISBLANK('Line finding'!F23),"",'Line finding'!F23))</f>
        <v/>
      </c>
      <c r="F23" s="3">
        <f>IF('Line finding'!$B23="","",IF(ISBLANK('Line finding'!G23),"",'Line finding'!G23))</f>
        <v>8.9999999999999996E-12</v>
      </c>
      <c r="G23" s="3">
        <f>IF('Line finding'!$B23="","",IF(ISBLANK('Line finding'!H23),"",'Line finding'!H23))</f>
        <v>1.2500000000000001E-10</v>
      </c>
      <c r="H23" s="3">
        <f>IF('Line finding'!$B23="","",IF(ISBLANK('Line finding'!I23),"",'Line finding'!I23))</f>
        <v>2.0000000000000001E-10</v>
      </c>
      <c r="I23" s="5" t="str">
        <f>IF('Line finding'!$B23="","",IF(ISBLANK('Line finding'!J23),"",'Line finding'!J23))</f>
        <v/>
      </c>
    </row>
    <row r="24" spans="1:9" x14ac:dyDescent="0.25">
      <c r="A24" s="5">
        <f>IF('Line finding'!$B24="","",'Line finding'!B24)</f>
        <v>6.5376280000000015E-7</v>
      </c>
      <c r="B24" s="5" t="str">
        <f>IF('Line finding'!$B24="","",IF(ISBLANK('Line finding'!C24),"",'Line finding'!C24))</f>
        <v/>
      </c>
      <c r="C24" s="5" t="str">
        <f>IF('Line finding'!$B24="","",IF(ISBLANK('Line finding'!D24),"",'Line finding'!D24))</f>
        <v>VoigtApparatus</v>
      </c>
      <c r="D24">
        <f>IF('Line finding'!$B24="","",IF(ISBLANK('Line finding'!E24),"",'Line finding'!E24))</f>
        <v>0</v>
      </c>
      <c r="E24" t="str">
        <f>IF('Line finding'!$B24="","",IF(ISBLANK('Line finding'!F24),"",'Line finding'!F24))</f>
        <v/>
      </c>
      <c r="F24" s="3">
        <f>IF('Line finding'!$B24="","",IF(ISBLANK('Line finding'!G24),"",'Line finding'!G24))</f>
        <v>8.9999999999999996E-12</v>
      </c>
      <c r="G24" s="3">
        <f>IF('Line finding'!$B24="","",IF(ISBLANK('Line finding'!H24),"",'Line finding'!H24))</f>
        <v>1.2500000000000001E-10</v>
      </c>
      <c r="H24" s="3">
        <f>IF('Line finding'!$B24="","",IF(ISBLANK('Line finding'!I24),"",'Line finding'!I24))</f>
        <v>2.0000000000000001E-10</v>
      </c>
      <c r="I24" s="5" t="str">
        <f>IF('Line finding'!$B24="","",IF(ISBLANK('Line finding'!J24),"",'Line finding'!J24))</f>
        <v/>
      </c>
    </row>
    <row r="25" spans="1:9" x14ac:dyDescent="0.25">
      <c r="A25" s="5">
        <f>IF('Line finding'!$B25="","",'Line finding'!B25)</f>
        <v>6.5383000000000008E-7</v>
      </c>
      <c r="B25" s="5" t="str">
        <f>IF('Line finding'!$B25="","",IF(ISBLANK('Line finding'!C25),"",'Line finding'!C25))</f>
        <v/>
      </c>
      <c r="C25" s="5" t="str">
        <f>IF('Line finding'!$B25="","",IF(ISBLANK('Line finding'!D25),"",'Line finding'!D25))</f>
        <v>VoigtApparatus</v>
      </c>
      <c r="D25">
        <f>IF('Line finding'!$B25="","",IF(ISBLANK('Line finding'!E25),"",'Line finding'!E25))</f>
        <v>1</v>
      </c>
      <c r="E25" t="str">
        <f>IF('Line finding'!$B25="","",IF(ISBLANK('Line finding'!F25),"",'Line finding'!F25))</f>
        <v/>
      </c>
      <c r="F25" s="3">
        <f>IF('Line finding'!$B25="","",IF(ISBLANK('Line finding'!G25),"",'Line finding'!G25))</f>
        <v>8.9999999999999996E-12</v>
      </c>
      <c r="G25" s="3">
        <f>IF('Line finding'!$B25="","",IF(ISBLANK('Line finding'!H25),"",'Line finding'!H25))</f>
        <v>1.2500000000000001E-10</v>
      </c>
      <c r="H25" s="3">
        <f>IF('Line finding'!$B25="","",IF(ISBLANK('Line finding'!I25),"",'Line finding'!I25))</f>
        <v>2.0000000000000001E-10</v>
      </c>
      <c r="I25" s="5" t="str">
        <f>IF('Line finding'!$B25="","",IF(ISBLANK('Line finding'!J25),"",'Line finding'!J25))</f>
        <v/>
      </c>
    </row>
    <row r="26" spans="1:9" x14ac:dyDescent="0.25">
      <c r="A26" s="5">
        <f>IF('Line finding'!$B26="","",'Line finding'!B26)</f>
        <v>6.5396889999999995E-7</v>
      </c>
      <c r="B26" s="5" t="str">
        <f>IF('Line finding'!$B26="","",IF(ISBLANK('Line finding'!C26),"",'Line finding'!C26))</f>
        <v/>
      </c>
      <c r="C26" s="5" t="str">
        <f>IF('Line finding'!$B26="","",IF(ISBLANK('Line finding'!D26),"",'Line finding'!D26))</f>
        <v>VoigtApparatus</v>
      </c>
      <c r="D26">
        <f>IF('Line finding'!$B26="","",IF(ISBLANK('Line finding'!E26),"",'Line finding'!E26))</f>
        <v>0</v>
      </c>
      <c r="E26" t="str">
        <f>IF('Line finding'!$B26="","",IF(ISBLANK('Line finding'!F26),"",'Line finding'!F26))</f>
        <v/>
      </c>
      <c r="F26" s="3">
        <f>IF('Line finding'!$B26="","",IF(ISBLANK('Line finding'!G26),"",'Line finding'!G26))</f>
        <v>8.9999999999999996E-12</v>
      </c>
      <c r="G26" s="3">
        <f>IF('Line finding'!$B26="","",IF(ISBLANK('Line finding'!H26),"",'Line finding'!H26))</f>
        <v>1.2500000000000001E-10</v>
      </c>
      <c r="H26" s="3">
        <f>IF('Line finding'!$B26="","",IF(ISBLANK('Line finding'!I26),"",'Line finding'!I26))</f>
        <v>2.0000000000000001E-10</v>
      </c>
      <c r="I26" s="5" t="str">
        <f>IF('Line finding'!$B26="","",IF(ISBLANK('Line finding'!J26),"",'Line finding'!J26))</f>
        <v/>
      </c>
    </row>
    <row r="27" spans="1:9" x14ac:dyDescent="0.25">
      <c r="A27" s="5">
        <f>IF('Line finding'!$B27="","",'Line finding'!B27)</f>
        <v>6.5405520000000003E-7</v>
      </c>
      <c r="B27" s="5" t="str">
        <f>IF('Line finding'!$B27="","",IF(ISBLANK('Line finding'!C27),"",'Line finding'!C27))</f>
        <v/>
      </c>
      <c r="C27" s="5" t="str">
        <f>IF('Line finding'!$B27="","",IF(ISBLANK('Line finding'!D27),"",'Line finding'!D27))</f>
        <v>VoigtApparatus</v>
      </c>
      <c r="D27">
        <f>IF('Line finding'!$B27="","",IF(ISBLANK('Line finding'!E27),"",'Line finding'!E27))</f>
        <v>0</v>
      </c>
      <c r="E27" t="str">
        <f>IF('Line finding'!$B27="","",IF(ISBLANK('Line finding'!F27),"",'Line finding'!F27))</f>
        <v/>
      </c>
      <c r="F27" s="3">
        <f>IF('Line finding'!$B27="","",IF(ISBLANK('Line finding'!G27),"",'Line finding'!G27))</f>
        <v>8.9999999999999996E-12</v>
      </c>
      <c r="G27" s="3">
        <f>IF('Line finding'!$B27="","",IF(ISBLANK('Line finding'!H27),"",'Line finding'!H27))</f>
        <v>1.2500000000000001E-10</v>
      </c>
      <c r="H27" s="3">
        <f>IF('Line finding'!$B27="","",IF(ISBLANK('Line finding'!I27),"",'Line finding'!I27))</f>
        <v>2.0000000000000001E-10</v>
      </c>
      <c r="I27" s="5" t="str">
        <f>IF('Line finding'!$B27="","",IF(ISBLANK('Line finding'!J27),"",'Line finding'!J27))</f>
        <v/>
      </c>
    </row>
    <row r="28" spans="1:9" x14ac:dyDescent="0.25">
      <c r="A28" s="5">
        <f>IF('Line finding'!$B28="","",'Line finding'!B28)</f>
        <v>6.5412730000000005E-7</v>
      </c>
      <c r="B28" s="5" t="str">
        <f>IF('Line finding'!$B28="","",IF(ISBLANK('Line finding'!C28),"",'Line finding'!C28))</f>
        <v/>
      </c>
      <c r="C28" s="5" t="str">
        <f>IF('Line finding'!$B28="","",IF(ISBLANK('Line finding'!D28),"",'Line finding'!D28))</f>
        <v>VoigtApparatus</v>
      </c>
      <c r="D28">
        <f>IF('Line finding'!$B28="","",IF(ISBLANK('Line finding'!E28),"",'Line finding'!E28))</f>
        <v>0</v>
      </c>
      <c r="E28" t="str">
        <f>IF('Line finding'!$B28="","",IF(ISBLANK('Line finding'!F28),"",'Line finding'!F28))</f>
        <v/>
      </c>
      <c r="F28" s="3">
        <f>IF('Line finding'!$B28="","",IF(ISBLANK('Line finding'!G28),"",'Line finding'!G28))</f>
        <v>8.9999999999999996E-12</v>
      </c>
      <c r="G28" s="3">
        <f>IF('Line finding'!$B28="","",IF(ISBLANK('Line finding'!H28),"",'Line finding'!H28))</f>
        <v>1.2500000000000001E-10</v>
      </c>
      <c r="H28" s="3">
        <f>IF('Line finding'!$B28="","",IF(ISBLANK('Line finding'!I28),"",'Line finding'!I28))</f>
        <v>2.0000000000000001E-10</v>
      </c>
      <c r="I28" s="5" t="str">
        <f>IF('Line finding'!$B28="","",IF(ISBLANK('Line finding'!J28),"",'Line finding'!J28))</f>
        <v/>
      </c>
    </row>
    <row r="29" spans="1:9" x14ac:dyDescent="0.25">
      <c r="A29" s="5">
        <f>IF('Line finding'!$B29="","",'Line finding'!B29)</f>
        <v>6.5413090000000008E-7</v>
      </c>
      <c r="B29" s="5" t="str">
        <f>IF('Line finding'!$B29="","",IF(ISBLANK('Line finding'!C29),"",'Line finding'!C29))</f>
        <v/>
      </c>
      <c r="C29" s="5" t="str">
        <f>IF('Line finding'!$B29="","",IF(ISBLANK('Line finding'!D29),"",'Line finding'!D29))</f>
        <v>VoigtApparatus</v>
      </c>
      <c r="D29">
        <f>IF('Line finding'!$B29="","",IF(ISBLANK('Line finding'!E29),"",'Line finding'!E29))</f>
        <v>0</v>
      </c>
      <c r="E29" t="str">
        <f>IF('Line finding'!$B29="","",IF(ISBLANK('Line finding'!F29),"",'Line finding'!F29))</f>
        <v/>
      </c>
      <c r="F29" s="3">
        <f>IF('Line finding'!$B29="","",IF(ISBLANK('Line finding'!G29),"",'Line finding'!G29))</f>
        <v>8.9999999999999996E-12</v>
      </c>
      <c r="G29" s="3">
        <f>IF('Line finding'!$B29="","",IF(ISBLANK('Line finding'!H29),"",'Line finding'!H29))</f>
        <v>1.2500000000000001E-10</v>
      </c>
      <c r="H29" s="3">
        <f>IF('Line finding'!$B29="","",IF(ISBLANK('Line finding'!I29),"",'Line finding'!I29))</f>
        <v>2.0000000000000001E-10</v>
      </c>
      <c r="I29" s="5" t="str">
        <f>IF('Line finding'!$B29="","",IF(ISBLANK('Line finding'!J29),"",'Line finding'!J29))</f>
        <v/>
      </c>
    </row>
    <row r="30" spans="1:9" x14ac:dyDescent="0.25">
      <c r="A30" s="5">
        <f>IF('Line finding'!$B30="","",'Line finding'!B30)</f>
        <v>6.5431880000000004E-7</v>
      </c>
      <c r="B30" s="5" t="str">
        <f>IF('Line finding'!$B30="","",IF(ISBLANK('Line finding'!C30),"",'Line finding'!C30))</f>
        <v/>
      </c>
      <c r="C30" s="5" t="str">
        <f>IF('Line finding'!$B30="","",IF(ISBLANK('Line finding'!D30),"",'Line finding'!D30))</f>
        <v>VoigtApparatus</v>
      </c>
      <c r="D30">
        <f>IF('Line finding'!$B30="","",IF(ISBLANK('Line finding'!E30),"",'Line finding'!E30))</f>
        <v>0</v>
      </c>
      <c r="E30" t="str">
        <f>IF('Line finding'!$B30="","",IF(ISBLANK('Line finding'!F30),"",'Line finding'!F30))</f>
        <v/>
      </c>
      <c r="F30" s="3">
        <f>IF('Line finding'!$B30="","",IF(ISBLANK('Line finding'!G30),"",'Line finding'!G30))</f>
        <v>8.9999999999999996E-12</v>
      </c>
      <c r="G30" s="3">
        <f>IF('Line finding'!$B30="","",IF(ISBLANK('Line finding'!H30),"",'Line finding'!H30))</f>
        <v>1.2500000000000001E-10</v>
      </c>
      <c r="H30" s="3">
        <f>IF('Line finding'!$B30="","",IF(ISBLANK('Line finding'!I30),"",'Line finding'!I30))</f>
        <v>2.0000000000000001E-10</v>
      </c>
      <c r="I30" s="5" t="str">
        <f>IF('Line finding'!$B30="","",IF(ISBLANK('Line finding'!J30),"",'Line finding'!J30))</f>
        <v/>
      </c>
    </row>
    <row r="31" spans="1:9" x14ac:dyDescent="0.25">
      <c r="A31" s="5">
        <f>IF('Line finding'!$B31="","",'Line finding'!B31)</f>
        <v>6.5432940000000006E-7</v>
      </c>
      <c r="B31" s="5" t="str">
        <f>IF('Line finding'!$B31="","",IF(ISBLANK('Line finding'!C31),"",'Line finding'!C31))</f>
        <v/>
      </c>
      <c r="C31" s="5" t="str">
        <f>IF('Line finding'!$B31="","",IF(ISBLANK('Line finding'!D31),"",'Line finding'!D31))</f>
        <v>VoigtApparatus</v>
      </c>
      <c r="D31">
        <f>IF('Line finding'!$B31="","",IF(ISBLANK('Line finding'!E31),"",'Line finding'!E31))</f>
        <v>0</v>
      </c>
      <c r="E31" t="str">
        <f>IF('Line finding'!$B31="","",IF(ISBLANK('Line finding'!F31),"",'Line finding'!F31))</f>
        <v/>
      </c>
      <c r="F31" s="3">
        <f>IF('Line finding'!$B31="","",IF(ISBLANK('Line finding'!G31),"",'Line finding'!G31))</f>
        <v>8.9999999999999996E-12</v>
      </c>
      <c r="G31" s="3">
        <f>IF('Line finding'!$B31="","",IF(ISBLANK('Line finding'!H31),"",'Line finding'!H31))</f>
        <v>1.2500000000000001E-10</v>
      </c>
      <c r="H31" s="3">
        <f>IF('Line finding'!$B31="","",IF(ISBLANK('Line finding'!I31),"",'Line finding'!I31))</f>
        <v>2.0000000000000001E-10</v>
      </c>
      <c r="I31" s="5" t="str">
        <f>IF('Line finding'!$B31="","",IF(ISBLANK('Line finding'!J31),"",'Line finding'!J31))</f>
        <v/>
      </c>
    </row>
    <row r="32" spans="1:9" x14ac:dyDescent="0.25">
      <c r="A32" s="5">
        <f>IF('Line finding'!$B32="","",'Line finding'!B32)</f>
        <v>6.5446780000000002E-7</v>
      </c>
      <c r="B32" s="5" t="str">
        <f>IF('Line finding'!$B32="","",IF(ISBLANK('Line finding'!C32),"",'Line finding'!C32))</f>
        <v/>
      </c>
      <c r="C32" s="5" t="str">
        <f>IF('Line finding'!$B32="","",IF(ISBLANK('Line finding'!D32),"",'Line finding'!D32))</f>
        <v>VoigtApparatus</v>
      </c>
      <c r="D32">
        <f>IF('Line finding'!$B32="","",IF(ISBLANK('Line finding'!E32),"",'Line finding'!E32))</f>
        <v>0</v>
      </c>
      <c r="E32" t="str">
        <f>IF('Line finding'!$B32="","",IF(ISBLANK('Line finding'!F32),"",'Line finding'!F32))</f>
        <v/>
      </c>
      <c r="F32" s="3">
        <f>IF('Line finding'!$B32="","",IF(ISBLANK('Line finding'!G32),"",'Line finding'!G32))</f>
        <v>8.9999999999999996E-12</v>
      </c>
      <c r="G32" s="3">
        <f>IF('Line finding'!$B32="","",IF(ISBLANK('Line finding'!H32),"",'Line finding'!H32))</f>
        <v>1.2500000000000001E-10</v>
      </c>
      <c r="H32" s="3">
        <f>IF('Line finding'!$B32="","",IF(ISBLANK('Line finding'!I32),"",'Line finding'!I32))</f>
        <v>2.0000000000000001E-10</v>
      </c>
      <c r="I32" s="5" t="str">
        <f>IF('Line finding'!$B32="","",IF(ISBLANK('Line finding'!J32),"",'Line finding'!J32))</f>
        <v/>
      </c>
    </row>
    <row r="33" spans="1:9" x14ac:dyDescent="0.25">
      <c r="A33" s="5">
        <f>IF('Line finding'!$B33="","",'Line finding'!B33)</f>
        <v>6.5447190000000007E-7</v>
      </c>
      <c r="B33" s="5" t="str">
        <f>IF('Line finding'!$B33="","",IF(ISBLANK('Line finding'!C33),"",'Line finding'!C33))</f>
        <v>Mo_unknown</v>
      </c>
      <c r="C33" s="5" t="str">
        <f>IF('Line finding'!$B33="","",IF(ISBLANK('Line finding'!D33),"",'Line finding'!D33))</f>
        <v>VoigtApparatus</v>
      </c>
      <c r="D33">
        <f>IF('Line finding'!$B33="","",IF(ISBLANK('Line finding'!E33),"",'Line finding'!E33))</f>
        <v>1</v>
      </c>
      <c r="E33" t="str">
        <f>IF('Line finding'!$B33="","",IF(ISBLANK('Line finding'!F33),"",'Line finding'!F33))</f>
        <v/>
      </c>
      <c r="F33" s="3">
        <f>IF('Line finding'!$B33="","",IF(ISBLANK('Line finding'!G33),"",'Line finding'!G33))</f>
        <v>8.9999999999999996E-12</v>
      </c>
      <c r="G33" s="3">
        <f>IF('Line finding'!$B33="","",IF(ISBLANK('Line finding'!H33),"",'Line finding'!H33))</f>
        <v>1.2500000000000001E-10</v>
      </c>
      <c r="H33" s="3">
        <f>IF('Line finding'!$B33="","",IF(ISBLANK('Line finding'!I33),"",'Line finding'!I33))</f>
        <v>2.0000000000000001E-10</v>
      </c>
      <c r="I33" s="5" t="str">
        <f>IF('Line finding'!$B33="","",IF(ISBLANK('Line finding'!J33),"",'Line finding'!J33))</f>
        <v>shape = $Mo1_width_var</v>
      </c>
    </row>
    <row r="34" spans="1:9" x14ac:dyDescent="0.25">
      <c r="A34" s="5">
        <f>IF('Line finding'!$B34="","",'Line finding'!B34)</f>
        <v>6.5465370000000014E-7</v>
      </c>
      <c r="B34" s="5" t="str">
        <f>IF('Line finding'!$B34="","",IF(ISBLANK('Line finding'!C34),"",'Line finding'!C34))</f>
        <v/>
      </c>
      <c r="C34" s="5" t="str">
        <f>IF('Line finding'!$B34="","",IF(ISBLANK('Line finding'!D34),"",'Line finding'!D34))</f>
        <v>VoigtApparatus</v>
      </c>
      <c r="D34">
        <f>IF('Line finding'!$B34="","",IF(ISBLANK('Line finding'!E34),"",'Line finding'!E34))</f>
        <v>0</v>
      </c>
      <c r="E34" t="str">
        <f>IF('Line finding'!$B34="","",IF(ISBLANK('Line finding'!F34),"",'Line finding'!F34))</f>
        <v/>
      </c>
      <c r="F34" s="3">
        <f>IF('Line finding'!$B34="","",IF(ISBLANK('Line finding'!G34),"",'Line finding'!G34))</f>
        <v>8.9999999999999996E-12</v>
      </c>
      <c r="G34" s="3">
        <f>IF('Line finding'!$B34="","",IF(ISBLANK('Line finding'!H34),"",'Line finding'!H34))</f>
        <v>1.2500000000000001E-10</v>
      </c>
      <c r="H34" s="3">
        <f>IF('Line finding'!$B34="","",IF(ISBLANK('Line finding'!I34),"",'Line finding'!I34))</f>
        <v>2.0000000000000001E-10</v>
      </c>
      <c r="I34" s="5" t="str">
        <f>IF('Line finding'!$B34="","",IF(ISBLANK('Line finding'!J34),"",'Line finding'!J34))</f>
        <v/>
      </c>
    </row>
    <row r="35" spans="1:9" x14ac:dyDescent="0.25">
      <c r="A35" s="5">
        <f>IF('Line finding'!$B35="","",'Line finding'!B35)</f>
        <v>6.5478829999999998E-7</v>
      </c>
      <c r="B35" s="5" t="str">
        <f>IF('Line finding'!$B35="","",IF(ISBLANK('Line finding'!C35),"",'Line finding'!C35))</f>
        <v/>
      </c>
      <c r="C35" s="5" t="str">
        <f>IF('Line finding'!$B35="","",IF(ISBLANK('Line finding'!D35),"",'Line finding'!D35))</f>
        <v>VoigtApparatus</v>
      </c>
      <c r="D35">
        <f>IF('Line finding'!$B35="","",IF(ISBLANK('Line finding'!E35),"",'Line finding'!E35))</f>
        <v>0</v>
      </c>
      <c r="E35" t="str">
        <f>IF('Line finding'!$B35="","",IF(ISBLANK('Line finding'!F35),"",'Line finding'!F35))</f>
        <v/>
      </c>
      <c r="F35" s="3">
        <f>IF('Line finding'!$B35="","",IF(ISBLANK('Line finding'!G35),"",'Line finding'!G35))</f>
        <v>8.9999999999999996E-12</v>
      </c>
      <c r="G35" s="3">
        <f>IF('Line finding'!$B35="","",IF(ISBLANK('Line finding'!H35),"",'Line finding'!H35))</f>
        <v>1.2500000000000001E-10</v>
      </c>
      <c r="H35" s="3">
        <f>IF('Line finding'!$B35="","",IF(ISBLANK('Line finding'!I35),"",'Line finding'!I35))</f>
        <v>2.0000000000000001E-10</v>
      </c>
      <c r="I35" s="5" t="str">
        <f>IF('Line finding'!$B35="","",IF(ISBLANK('Line finding'!J35),"",'Line finding'!J35))</f>
        <v/>
      </c>
    </row>
    <row r="36" spans="1:9" x14ac:dyDescent="0.25">
      <c r="A36" s="5">
        <f>IF('Line finding'!$B36="","",'Line finding'!B36)</f>
        <v>6.5488560000000014E-7</v>
      </c>
      <c r="B36" s="5" t="str">
        <f>IF('Line finding'!$B36="","",IF(ISBLANK('Line finding'!C36),"",'Line finding'!C36))</f>
        <v/>
      </c>
      <c r="C36" s="5" t="str">
        <f>IF('Line finding'!$B36="","",IF(ISBLANK('Line finding'!D36),"",'Line finding'!D36))</f>
        <v>VoigtApparatus</v>
      </c>
      <c r="D36">
        <f>IF('Line finding'!$B36="","",IF(ISBLANK('Line finding'!E36),"",'Line finding'!E36))</f>
        <v>0</v>
      </c>
      <c r="E36" t="str">
        <f>IF('Line finding'!$B36="","",IF(ISBLANK('Line finding'!F36),"",'Line finding'!F36))</f>
        <v/>
      </c>
      <c r="F36" s="3">
        <f>IF('Line finding'!$B36="","",IF(ISBLANK('Line finding'!G36),"",'Line finding'!G36))</f>
        <v>8.9999999999999996E-12</v>
      </c>
      <c r="G36" s="3">
        <f>IF('Line finding'!$B36="","",IF(ISBLANK('Line finding'!H36),"",'Line finding'!H36))</f>
        <v>1.2500000000000001E-10</v>
      </c>
      <c r="H36" s="3">
        <f>IF('Line finding'!$B36="","",IF(ISBLANK('Line finding'!I36),"",'Line finding'!I36))</f>
        <v>2.0000000000000001E-10</v>
      </c>
      <c r="I36" s="5" t="str">
        <f>IF('Line finding'!$B36="","",IF(ISBLANK('Line finding'!J36),"",'Line finding'!J36))</f>
        <v/>
      </c>
    </row>
    <row r="37" spans="1:9" x14ac:dyDescent="0.25">
      <c r="A37" s="5">
        <f>IF('Line finding'!$B37="","",'Line finding'!B37)</f>
        <v>6.5495340000000002E-7</v>
      </c>
      <c r="B37" s="5" t="str">
        <f>IF('Line finding'!$B37="","",IF(ISBLANK('Line finding'!C37),"",'Line finding'!C37))</f>
        <v/>
      </c>
      <c r="C37" s="5" t="str">
        <f>IF('Line finding'!$B37="","",IF(ISBLANK('Line finding'!D37),"",'Line finding'!D37))</f>
        <v>VoigtApparatus</v>
      </c>
      <c r="D37">
        <f>IF('Line finding'!$B37="","",IF(ISBLANK('Line finding'!E37),"",'Line finding'!E37))</f>
        <v>1</v>
      </c>
      <c r="E37" t="str">
        <f>IF('Line finding'!$B37="","",IF(ISBLANK('Line finding'!F37),"",'Line finding'!F37))</f>
        <v/>
      </c>
      <c r="F37" s="3">
        <f>IF('Line finding'!$B37="","",IF(ISBLANK('Line finding'!G37),"",'Line finding'!G37))</f>
        <v>8.9999999999999996E-12</v>
      </c>
      <c r="G37" s="3">
        <f>IF('Line finding'!$B37="","",IF(ISBLANK('Line finding'!H37),"",'Line finding'!H37))</f>
        <v>1.2500000000000001E-10</v>
      </c>
      <c r="H37" s="3">
        <f>IF('Line finding'!$B37="","",IF(ISBLANK('Line finding'!I37),"",'Line finding'!I37))</f>
        <v>2.0000000000000001E-10</v>
      </c>
      <c r="I37" s="5" t="str">
        <f>IF('Line finding'!$B37="","",IF(ISBLANK('Line finding'!J37),"",'Line finding'!J37))</f>
        <v/>
      </c>
    </row>
    <row r="38" spans="1:9" x14ac:dyDescent="0.25">
      <c r="A38" s="5">
        <f>IF('Line finding'!$B38="","",'Line finding'!B38)</f>
        <v>6.5509109999999999E-7</v>
      </c>
      <c r="B38" s="5" t="str">
        <f>IF('Line finding'!$B38="","",IF(ISBLANK('Line finding'!C38),"",'Line finding'!C38))</f>
        <v/>
      </c>
      <c r="C38" s="5" t="str">
        <f>IF('Line finding'!$B38="","",IF(ISBLANK('Line finding'!D38),"",'Line finding'!D38))</f>
        <v>VoigtApparatus</v>
      </c>
      <c r="D38">
        <f>IF('Line finding'!$B38="","",IF(ISBLANK('Line finding'!E38),"",'Line finding'!E38))</f>
        <v>0</v>
      </c>
      <c r="E38" t="str">
        <f>IF('Line finding'!$B38="","",IF(ISBLANK('Line finding'!F38),"",'Line finding'!F38))</f>
        <v/>
      </c>
      <c r="F38" s="3">
        <f>IF('Line finding'!$B38="","",IF(ISBLANK('Line finding'!G38),"",'Line finding'!G38))</f>
        <v>8.9999999999999996E-12</v>
      </c>
      <c r="G38" s="3">
        <f>IF('Line finding'!$B38="","",IF(ISBLANK('Line finding'!H38),"",'Line finding'!H38))</f>
        <v>1.2500000000000001E-10</v>
      </c>
      <c r="H38" s="3">
        <f>IF('Line finding'!$B38="","",IF(ISBLANK('Line finding'!I38),"",'Line finding'!I38))</f>
        <v>2.0000000000000001E-10</v>
      </c>
      <c r="I38" s="5" t="str">
        <f>IF('Line finding'!$B38="","",IF(ISBLANK('Line finding'!J38),"",'Line finding'!J38))</f>
        <v/>
      </c>
    </row>
    <row r="39" spans="1:9" x14ac:dyDescent="0.25">
      <c r="A39" s="5">
        <f>IF('Line finding'!$B39="","",'Line finding'!B39)</f>
        <v>6.5528480000000002E-7</v>
      </c>
      <c r="B39" s="5" t="str">
        <f>IF('Line finding'!$B39="","",IF(ISBLANK('Line finding'!C39),"",'Line finding'!C39))</f>
        <v/>
      </c>
      <c r="C39" s="5" t="str">
        <f>IF('Line finding'!$B39="","",IF(ISBLANK('Line finding'!D39),"",'Line finding'!D39))</f>
        <v>VoigtApparatus</v>
      </c>
      <c r="D39">
        <f>IF('Line finding'!$B39="","",IF(ISBLANK('Line finding'!E39),"",'Line finding'!E39))</f>
        <v>0</v>
      </c>
      <c r="E39" t="str">
        <f>IF('Line finding'!$B39="","",IF(ISBLANK('Line finding'!F39),"",'Line finding'!F39))</f>
        <v/>
      </c>
      <c r="F39" s="3">
        <f>IF('Line finding'!$B39="","",IF(ISBLANK('Line finding'!G39),"",'Line finding'!G39))</f>
        <v>8.9999999999999996E-12</v>
      </c>
      <c r="G39" s="3">
        <f>IF('Line finding'!$B39="","",IF(ISBLANK('Line finding'!H39),"",'Line finding'!H39))</f>
        <v>1.2500000000000001E-10</v>
      </c>
      <c r="H39" s="3">
        <f>IF('Line finding'!$B39="","",IF(ISBLANK('Line finding'!I39),"",'Line finding'!I39))</f>
        <v>2.0000000000000001E-10</v>
      </c>
      <c r="I39" s="5" t="str">
        <f>IF('Line finding'!$B39="","",IF(ISBLANK('Line finding'!J39),"",'Line finding'!J39))</f>
        <v/>
      </c>
    </row>
    <row r="40" spans="1:9" x14ac:dyDescent="0.25">
      <c r="A40" s="5">
        <f>IF('Line finding'!$B40="","",'Line finding'!B40)</f>
        <v>6.5534499999999997E-7</v>
      </c>
      <c r="B40" s="5" t="str">
        <f>IF('Line finding'!$B40="","",IF(ISBLANK('Line finding'!C40),"",'Line finding'!C40))</f>
        <v>Mo_unknown</v>
      </c>
      <c r="C40" s="5" t="str">
        <f>IF('Line finding'!$B40="","",IF(ISBLANK('Line finding'!D40),"",'Line finding'!D40))</f>
        <v>VoigtApparatus</v>
      </c>
      <c r="D40">
        <f>IF('Line finding'!$B40="","",IF(ISBLANK('Line finding'!E40),"",'Line finding'!E40))</f>
        <v>1</v>
      </c>
      <c r="E40" t="str">
        <f>IF('Line finding'!$B40="","",IF(ISBLANK('Line finding'!F40),"",'Line finding'!F40))</f>
        <v/>
      </c>
      <c r="F40" s="3">
        <f>IF('Line finding'!$B40="","",IF(ISBLANK('Line finding'!G40),"",'Line finding'!G40))</f>
        <v>8.9999999999999996E-12</v>
      </c>
      <c r="G40" s="3">
        <f>IF('Line finding'!$B40="","",IF(ISBLANK('Line finding'!H40),"",'Line finding'!H40))</f>
        <v>1.2500000000000001E-10</v>
      </c>
      <c r="H40" s="3">
        <f>IF('Line finding'!$B40="","",IF(ISBLANK('Line finding'!I40),"",'Line finding'!I40))</f>
        <v>2.0000000000000001E-10</v>
      </c>
      <c r="I40" s="5" t="str">
        <f>IF('Line finding'!$B40="","",IF(ISBLANK('Line finding'!J40),"",'Line finding'!J40))</f>
        <v>shape = $Mo1_width_var</v>
      </c>
    </row>
    <row r="41" spans="1:9" x14ac:dyDescent="0.25">
      <c r="A41" s="5">
        <f>IF('Line finding'!$B41="","",'Line finding'!B41)</f>
        <v>6.5539969999999998E-7</v>
      </c>
      <c r="B41" s="5" t="str">
        <f>IF('Line finding'!$B41="","",IF(ISBLANK('Line finding'!C41),"",'Line finding'!C41))</f>
        <v/>
      </c>
      <c r="C41" s="5" t="str">
        <f>IF('Line finding'!$B41="","",IF(ISBLANK('Line finding'!D41),"",'Line finding'!D41))</f>
        <v>VoigtApparatus</v>
      </c>
      <c r="D41">
        <f>IF('Line finding'!$B41="","",IF(ISBLANK('Line finding'!E41),"",'Line finding'!E41))</f>
        <v>1</v>
      </c>
      <c r="E41" t="str">
        <f>IF('Line finding'!$B41="","",IF(ISBLANK('Line finding'!F41),"",'Line finding'!F41))</f>
        <v/>
      </c>
      <c r="F41" s="3">
        <f>IF('Line finding'!$B41="","",IF(ISBLANK('Line finding'!G41),"",'Line finding'!G41))</f>
        <v>8.9999999999999996E-12</v>
      </c>
      <c r="G41" s="3">
        <f>IF('Line finding'!$B41="","",IF(ISBLANK('Line finding'!H41),"",'Line finding'!H41))</f>
        <v>1.2500000000000001E-10</v>
      </c>
      <c r="H41" s="3">
        <f>IF('Line finding'!$B41="","",IF(ISBLANK('Line finding'!I41),"",'Line finding'!I41))</f>
        <v>2.0000000000000001E-10</v>
      </c>
      <c r="I41" s="5" t="str">
        <f>IF('Line finding'!$B41="","",IF(ISBLANK('Line finding'!J41),"",'Line finding'!J41))</f>
        <v/>
      </c>
    </row>
    <row r="42" spans="1:9" x14ac:dyDescent="0.25">
      <c r="A42" s="5">
        <f>IF('Line finding'!$B42="","",'Line finding'!B42)</f>
        <v>6.5543020000000008E-7</v>
      </c>
      <c r="B42" s="5" t="str">
        <f>IF('Line finding'!$B42="","",IF(ISBLANK('Line finding'!C42),"",'Line finding'!C42))</f>
        <v/>
      </c>
      <c r="C42" s="5" t="str">
        <f>IF('Line finding'!$B42="","",IF(ISBLANK('Line finding'!D42),"",'Line finding'!D42))</f>
        <v>VoigtApparatus</v>
      </c>
      <c r="D42">
        <f>IF('Line finding'!$B42="","",IF(ISBLANK('Line finding'!E42),"",'Line finding'!E42))</f>
        <v>0</v>
      </c>
      <c r="E42" t="str">
        <f>IF('Line finding'!$B42="","",IF(ISBLANK('Line finding'!F42),"",'Line finding'!F42))</f>
        <v/>
      </c>
      <c r="F42" s="3">
        <f>IF('Line finding'!$B42="","",IF(ISBLANK('Line finding'!G42),"",'Line finding'!G42))</f>
        <v>8.9999999999999996E-12</v>
      </c>
      <c r="G42" s="3">
        <f>IF('Line finding'!$B42="","",IF(ISBLANK('Line finding'!H42),"",'Line finding'!H42))</f>
        <v>1.2500000000000001E-10</v>
      </c>
      <c r="H42" s="3">
        <f>IF('Line finding'!$B42="","",IF(ISBLANK('Line finding'!I42),"",'Line finding'!I42))</f>
        <v>2.0000000000000001E-10</v>
      </c>
      <c r="I42" s="5" t="str">
        <f>IF('Line finding'!$B42="","",IF(ISBLANK('Line finding'!J42),"",'Line finding'!J42))</f>
        <v/>
      </c>
    </row>
    <row r="43" spans="1:9" x14ac:dyDescent="0.25">
      <c r="A43" s="5">
        <f>IF('Line finding'!$B43="","",'Line finding'!B43)</f>
        <v>6.5562119999999995E-7</v>
      </c>
      <c r="B43" s="5" t="str">
        <f>IF('Line finding'!$B43="","",IF(ISBLANK('Line finding'!C43),"",'Line finding'!C43))</f>
        <v>Mo_unknown</v>
      </c>
      <c r="C43" s="5" t="str">
        <f>IF('Line finding'!$B43="","",IF(ISBLANK('Line finding'!D43),"",'Line finding'!D43))</f>
        <v>VoigtApparatus</v>
      </c>
      <c r="D43">
        <f>IF('Line finding'!$B43="","",IF(ISBLANK('Line finding'!E43),"",'Line finding'!E43))</f>
        <v>1</v>
      </c>
      <c r="E43" t="str">
        <f>IF('Line finding'!$B43="","",IF(ISBLANK('Line finding'!F43),"",'Line finding'!F43))</f>
        <v/>
      </c>
      <c r="F43" s="3">
        <f>IF('Line finding'!$B43="","",IF(ISBLANK('Line finding'!G43),"",'Line finding'!G43))</f>
        <v>8.9999999999999996E-12</v>
      </c>
      <c r="G43" s="3">
        <f>IF('Line finding'!$B43="","",IF(ISBLANK('Line finding'!H43),"",'Line finding'!H43))</f>
        <v>1.2500000000000001E-10</v>
      </c>
      <c r="H43" s="3">
        <f>IF('Line finding'!$B43="","",IF(ISBLANK('Line finding'!I43),"",'Line finding'!I43))</f>
        <v>2.0000000000000001E-10</v>
      </c>
      <c r="I43" s="5" t="str">
        <f>IF('Line finding'!$B43="","",IF(ISBLANK('Line finding'!J43),"",'Line finding'!J43))</f>
        <v>shape = $Mo1_width_var</v>
      </c>
    </row>
    <row r="44" spans="1:9" x14ac:dyDescent="0.25">
      <c r="A44" s="5">
        <f>IF('Line finding'!$B44="","",'Line finding'!B44)</f>
        <v>6.5586100000000003E-7</v>
      </c>
      <c r="B44" s="5" t="str">
        <f>IF('Line finding'!$B44="","",IF(ISBLANK('Line finding'!C44),"",'Line finding'!C44))</f>
        <v>Mo_unknown</v>
      </c>
      <c r="C44" s="5" t="str">
        <f>IF('Line finding'!$B44="","",IF(ISBLANK('Line finding'!D44),"",'Line finding'!D44))</f>
        <v>VoigtApparatus</v>
      </c>
      <c r="D44">
        <f>IF('Line finding'!$B44="","",IF(ISBLANK('Line finding'!E44),"",'Line finding'!E44))</f>
        <v>1</v>
      </c>
      <c r="E44" t="str">
        <f>IF('Line finding'!$B44="","",IF(ISBLANK('Line finding'!F44),"",'Line finding'!F44))</f>
        <v/>
      </c>
      <c r="F44" s="3">
        <f>IF('Line finding'!$B44="","",IF(ISBLANK('Line finding'!G44),"",'Line finding'!G44))</f>
        <v>8.9999999999999996E-12</v>
      </c>
      <c r="G44" s="3">
        <f>IF('Line finding'!$B44="","",IF(ISBLANK('Line finding'!H44),"",'Line finding'!H44))</f>
        <v>1.2500000000000001E-10</v>
      </c>
      <c r="H44" s="3">
        <f>IF('Line finding'!$B44="","",IF(ISBLANK('Line finding'!I44),"",'Line finding'!I44))</f>
        <v>2.0000000000000001E-10</v>
      </c>
      <c r="I44" s="5" t="str">
        <f>IF('Line finding'!$B44="","",IF(ISBLANK('Line finding'!J44),"",'Line finding'!J44))</f>
        <v>shape = $Mo1_width_var</v>
      </c>
    </row>
    <row r="45" spans="1:9" x14ac:dyDescent="0.25">
      <c r="A45" s="5">
        <f>IF('Line finding'!$B45="","",'Line finding'!B45)</f>
        <v>6.5610100000000009E-7</v>
      </c>
      <c r="B45" s="5" t="str">
        <f>IF('Line finding'!$B45="","",IF(ISBLANK('Line finding'!C45),"",'Line finding'!C45))</f>
        <v>D</v>
      </c>
      <c r="C45" s="5" t="str">
        <f>IF('Line finding'!$B45="","",IF(ISBLANK('Line finding'!D45),"",'Line finding'!D45))</f>
        <v>VoigtFWHM</v>
      </c>
      <c r="D45">
        <f>IF('Line finding'!$B45="","",IF(ISBLANK('Line finding'!E45),"",'Line finding'!E45))</f>
        <v>1</v>
      </c>
      <c r="E45" t="str">
        <f>IF('Line finding'!$B45="","",IF(ISBLANK('Line finding'!F45),"",'Line finding'!F45))</f>
        <v/>
      </c>
      <c r="F45" s="3">
        <f>IF('Line finding'!$B45="","",IF(ISBLANK('Line finding'!G45),"",'Line finding'!G45))</f>
        <v>8.9999999999999996E-12</v>
      </c>
      <c r="G45" s="3">
        <f>IF('Line finding'!$B45="","",IF(ISBLANK('Line finding'!H45),"",'Line finding'!H45))</f>
        <v>3E-10</v>
      </c>
      <c r="H45" s="3">
        <f>IF('Line finding'!$B45="","",IF(ISBLANK('Line finding'!I45),"",'Line finding'!I45))</f>
        <v>1.2E-9</v>
      </c>
      <c r="I45" s="5" t="str">
        <f>IF('Line finding'!$B45="","",IF(ISBLANK('Line finding'!J45),"",'Line finding'!J45))</f>
        <v/>
      </c>
    </row>
    <row r="46" spans="1:9" x14ac:dyDescent="0.25">
      <c r="A46" s="5">
        <f>IF('Line finding'!$B46="","",'Line finding'!B46)</f>
        <v>6.5610539999999995E-7</v>
      </c>
      <c r="B46" s="5" t="str">
        <f>IF('Line finding'!$B46="","",IF(ISBLANK('Line finding'!C46),"",'Line finding'!C46))</f>
        <v/>
      </c>
      <c r="C46" s="5" t="str">
        <f>IF('Line finding'!$B46="","",IF(ISBLANK('Line finding'!D46),"",'Line finding'!D46))</f>
        <v>VoigtApparatus</v>
      </c>
      <c r="D46">
        <f>IF('Line finding'!$B46="","",IF(ISBLANK('Line finding'!E46),"",'Line finding'!E46))</f>
        <v>0</v>
      </c>
      <c r="E46" t="str">
        <f>IF('Line finding'!$B46="","",IF(ISBLANK('Line finding'!F46),"",'Line finding'!F46))</f>
        <v/>
      </c>
      <c r="F46" s="3">
        <f>IF('Line finding'!$B46="","",IF(ISBLANK('Line finding'!G46),"",'Line finding'!G46))</f>
        <v>8.9999999999999996E-12</v>
      </c>
      <c r="G46" s="3">
        <f>IF('Line finding'!$B46="","",IF(ISBLANK('Line finding'!H46),"",'Line finding'!H46))</f>
        <v>1.2500000000000001E-10</v>
      </c>
      <c r="H46" s="3">
        <f>IF('Line finding'!$B46="","",IF(ISBLANK('Line finding'!I46),"",'Line finding'!I46))</f>
        <v>2.0000000000000001E-10</v>
      </c>
      <c r="I46" s="5" t="str">
        <f>IF('Line finding'!$B46="","",IF(ISBLANK('Line finding'!J46),"",'Line finding'!J46))</f>
        <v/>
      </c>
    </row>
    <row r="47" spans="1:9" x14ac:dyDescent="0.25">
      <c r="A47" s="5">
        <f>IF('Line finding'!$B47="","",'Line finding'!B47)</f>
        <v>6.5613720000000001E-7</v>
      </c>
      <c r="B47" s="5" t="str">
        <f>IF('Line finding'!$B47="","",IF(ISBLANK('Line finding'!C47),"",'Line finding'!C47))</f>
        <v/>
      </c>
      <c r="C47" s="5" t="str">
        <f>IF('Line finding'!$B47="","",IF(ISBLANK('Line finding'!D47),"",'Line finding'!D47))</f>
        <v>VoigtApparatus</v>
      </c>
      <c r="D47">
        <f>IF('Line finding'!$B47="","",IF(ISBLANK('Line finding'!E47),"",'Line finding'!E47))</f>
        <v>0</v>
      </c>
      <c r="E47" t="str">
        <f>IF('Line finding'!$B47="","",IF(ISBLANK('Line finding'!F47),"",'Line finding'!F47))</f>
        <v/>
      </c>
      <c r="F47" s="3">
        <f>IF('Line finding'!$B47="","",IF(ISBLANK('Line finding'!G47),"",'Line finding'!G47))</f>
        <v>8.9999999999999996E-12</v>
      </c>
      <c r="G47" s="3">
        <f>IF('Line finding'!$B47="","",IF(ISBLANK('Line finding'!H47),"",'Line finding'!H47))</f>
        <v>1.2500000000000001E-10</v>
      </c>
      <c r="H47" s="3">
        <f>IF('Line finding'!$B47="","",IF(ISBLANK('Line finding'!I47),"",'Line finding'!I47))</f>
        <v>2.0000000000000001E-10</v>
      </c>
      <c r="I47" s="5" t="str">
        <f>IF('Line finding'!$B47="","",IF(ISBLANK('Line finding'!J47),"",'Line finding'!J47))</f>
        <v/>
      </c>
    </row>
    <row r="48" spans="1:9" x14ac:dyDescent="0.25">
      <c r="A48" s="5">
        <f>IF('Line finding'!$B48="","",'Line finding'!B48)</f>
        <v>6.5628000000000016E-7</v>
      </c>
      <c r="B48" s="5" t="str">
        <f>IF('Line finding'!$B48="","",IF(ISBLANK('Line finding'!C48),"",'Line finding'!C48))</f>
        <v>H</v>
      </c>
      <c r="C48" s="5" t="str">
        <f>IF('Line finding'!$B48="","",IF(ISBLANK('Line finding'!D48),"",'Line finding'!D48))</f>
        <v>VoigtFWHM</v>
      </c>
      <c r="D48">
        <f>IF('Line finding'!$B48="","",IF(ISBLANK('Line finding'!E48),"",'Line finding'!E48))</f>
        <v>1</v>
      </c>
      <c r="E48" t="str">
        <f>IF('Line finding'!$B48="","",IF(ISBLANK('Line finding'!F48),"",'Line finding'!F48))</f>
        <v/>
      </c>
      <c r="F48" s="3">
        <f>IF('Line finding'!$B48="","",IF(ISBLANK('Line finding'!G48),"",'Line finding'!G48))</f>
        <v>8.9999999999999996E-12</v>
      </c>
      <c r="G48" s="3">
        <f>IF('Line finding'!$B48="","",IF(ISBLANK('Line finding'!H48),"",'Line finding'!H48))</f>
        <v>3E-10</v>
      </c>
      <c r="H48" s="3">
        <f>IF('Line finding'!$B48="","",IF(ISBLANK('Line finding'!I48),"",'Line finding'!I48))</f>
        <v>1.2E-9</v>
      </c>
      <c r="I48" s="5" t="str">
        <f>IF('Line finding'!$B48="","",IF(ISBLANK('Line finding'!J48),"",'Line finding'!J48))</f>
        <v>center = %D_656101.center + 0.179e-9; fwhm = %D_656101.fwhm; shape = %D_656101.shape</v>
      </c>
    </row>
    <row r="49" spans="1:9" x14ac:dyDescent="0.25">
      <c r="A49" s="5">
        <f>IF('Line finding'!$B49="","",'Line finding'!B49)</f>
        <v>6.5628219999999998E-7</v>
      </c>
      <c r="B49" s="5" t="str">
        <f>IF('Line finding'!$B49="","",IF(ISBLANK('Line finding'!C49),"",'Line finding'!C49))</f>
        <v/>
      </c>
      <c r="C49" s="5" t="str">
        <f>IF('Line finding'!$B49="","",IF(ISBLANK('Line finding'!D49),"",'Line finding'!D49))</f>
        <v>VoigtApparatus</v>
      </c>
      <c r="D49">
        <f>IF('Line finding'!$B49="","",IF(ISBLANK('Line finding'!E49),"",'Line finding'!E49))</f>
        <v>0</v>
      </c>
      <c r="E49" t="str">
        <f>IF('Line finding'!$B49="","",IF(ISBLANK('Line finding'!F49),"",'Line finding'!F49))</f>
        <v/>
      </c>
      <c r="F49" s="3">
        <f>IF('Line finding'!$B49="","",IF(ISBLANK('Line finding'!G49),"",'Line finding'!G49))</f>
        <v>8.9999999999999996E-12</v>
      </c>
      <c r="G49" s="3">
        <f>IF('Line finding'!$B49="","",IF(ISBLANK('Line finding'!H49),"",'Line finding'!H49))</f>
        <v>1.2500000000000001E-10</v>
      </c>
      <c r="H49" s="3">
        <f>IF('Line finding'!$B49="","",IF(ISBLANK('Line finding'!I49),"",'Line finding'!I49))</f>
        <v>2.0000000000000001E-10</v>
      </c>
      <c r="I49" s="5" t="str">
        <f>IF('Line finding'!$B49="","",IF(ISBLANK('Line finding'!J49),"",'Line finding'!J49))</f>
        <v/>
      </c>
    </row>
    <row r="50" spans="1:9" x14ac:dyDescent="0.25">
      <c r="A50" s="5">
        <f>IF('Line finding'!$B50="","",'Line finding'!B50)</f>
        <v>6.5644660000000003E-7</v>
      </c>
      <c r="B50" s="5" t="str">
        <f>IF('Line finding'!$B50="","",IF(ISBLANK('Line finding'!C50),"",'Line finding'!C50))</f>
        <v/>
      </c>
      <c r="C50" s="5" t="str">
        <f>IF('Line finding'!$B50="","",IF(ISBLANK('Line finding'!D50),"",'Line finding'!D50))</f>
        <v>VoigtApparatus</v>
      </c>
      <c r="D50">
        <f>IF('Line finding'!$B50="","",IF(ISBLANK('Line finding'!E50),"",'Line finding'!E50))</f>
        <v>0</v>
      </c>
      <c r="E50" t="str">
        <f>IF('Line finding'!$B50="","",IF(ISBLANK('Line finding'!F50),"",'Line finding'!F50))</f>
        <v/>
      </c>
      <c r="F50" s="3">
        <f>IF('Line finding'!$B50="","",IF(ISBLANK('Line finding'!G50),"",'Line finding'!G50))</f>
        <v>8.9999999999999996E-12</v>
      </c>
      <c r="G50" s="3">
        <f>IF('Line finding'!$B50="","",IF(ISBLANK('Line finding'!H50),"",'Line finding'!H50))</f>
        <v>1.2500000000000001E-10</v>
      </c>
      <c r="H50" s="3">
        <f>IF('Line finding'!$B50="","",IF(ISBLANK('Line finding'!I50),"",'Line finding'!I50))</f>
        <v>2.0000000000000001E-10</v>
      </c>
      <c r="I50" s="5" t="str">
        <f>IF('Line finding'!$B50="","",IF(ISBLANK('Line finding'!J50),"",'Line finding'!J50))</f>
        <v/>
      </c>
    </row>
    <row r="51" spans="1:9" x14ac:dyDescent="0.25">
      <c r="A51" s="5">
        <f>IF('Line finding'!$B51="","",'Line finding'!B51)</f>
        <v>6.5658070000000007E-7</v>
      </c>
      <c r="B51" s="5" t="str">
        <f>IF('Line finding'!$B51="","",IF(ISBLANK('Line finding'!C51),"",'Line finding'!C51))</f>
        <v/>
      </c>
      <c r="C51" s="5" t="str">
        <f>IF('Line finding'!$B51="","",IF(ISBLANK('Line finding'!D51),"",'Line finding'!D51))</f>
        <v>VoigtApparatus</v>
      </c>
      <c r="D51">
        <f>IF('Line finding'!$B51="","",IF(ISBLANK('Line finding'!E51),"",'Line finding'!E51))</f>
        <v>0</v>
      </c>
      <c r="E51" t="str">
        <f>IF('Line finding'!$B51="","",IF(ISBLANK('Line finding'!F51),"",'Line finding'!F51))</f>
        <v/>
      </c>
      <c r="F51" s="3">
        <f>IF('Line finding'!$B51="","",IF(ISBLANK('Line finding'!G51),"",'Line finding'!G51))</f>
        <v>8.9999999999999996E-12</v>
      </c>
      <c r="G51" s="3">
        <f>IF('Line finding'!$B51="","",IF(ISBLANK('Line finding'!H51),"",'Line finding'!H51))</f>
        <v>1.2500000000000001E-10</v>
      </c>
      <c r="H51" s="3">
        <f>IF('Line finding'!$B51="","",IF(ISBLANK('Line finding'!I51),"",'Line finding'!I51))</f>
        <v>2.0000000000000001E-10</v>
      </c>
      <c r="I51" s="5" t="str">
        <f>IF('Line finding'!$B51="","",IF(ISBLANK('Line finding'!J51),"",'Line finding'!J51))</f>
        <v/>
      </c>
    </row>
    <row r="52" spans="1:9" x14ac:dyDescent="0.25">
      <c r="A52" s="5">
        <f>IF('Line finding'!$B52="","",'Line finding'!B52)</f>
        <v>6.5670620000000015E-7</v>
      </c>
      <c r="B52" s="5" t="str">
        <f>IF('Line finding'!$B52="","",IF(ISBLANK('Line finding'!C52),"",'Line finding'!C52))</f>
        <v/>
      </c>
      <c r="C52" s="5" t="str">
        <f>IF('Line finding'!$B52="","",IF(ISBLANK('Line finding'!D52),"",'Line finding'!D52))</f>
        <v>VoigtApparatus</v>
      </c>
      <c r="D52">
        <f>IF('Line finding'!$B52="","",IF(ISBLANK('Line finding'!E52),"",'Line finding'!E52))</f>
        <v>0</v>
      </c>
      <c r="E52" t="str">
        <f>IF('Line finding'!$B52="","",IF(ISBLANK('Line finding'!F52),"",'Line finding'!F52))</f>
        <v/>
      </c>
      <c r="F52" s="3">
        <f>IF('Line finding'!$B52="","",IF(ISBLANK('Line finding'!G52),"",'Line finding'!G52))</f>
        <v>8.9999999999999996E-12</v>
      </c>
      <c r="G52" s="3">
        <f>IF('Line finding'!$B52="","",IF(ISBLANK('Line finding'!H52),"",'Line finding'!H52))</f>
        <v>1.2500000000000001E-10</v>
      </c>
      <c r="H52" s="3">
        <f>IF('Line finding'!$B52="","",IF(ISBLANK('Line finding'!I52),"",'Line finding'!I52))</f>
        <v>2.0000000000000001E-10</v>
      </c>
      <c r="I52" s="5" t="str">
        <f>IF('Line finding'!$B52="","",IF(ISBLANK('Line finding'!J52),"",'Line finding'!J52))</f>
        <v/>
      </c>
    </row>
    <row r="53" spans="1:9" x14ac:dyDescent="0.25">
      <c r="A53" s="5">
        <f>IF('Line finding'!$B53="","",'Line finding'!B53)</f>
        <v>6.5676280000000006E-7</v>
      </c>
      <c r="B53" s="5" t="str">
        <f>IF('Line finding'!$B53="","",IF(ISBLANK('Line finding'!C53),"",'Line finding'!C53))</f>
        <v/>
      </c>
      <c r="C53" s="5" t="str">
        <f>IF('Line finding'!$B53="","",IF(ISBLANK('Line finding'!D53),"",'Line finding'!D53))</f>
        <v>VoigtApparatus</v>
      </c>
      <c r="D53">
        <f>IF('Line finding'!$B53="","",IF(ISBLANK('Line finding'!E53),"",'Line finding'!E53))</f>
        <v>1</v>
      </c>
      <c r="E53" t="str">
        <f>IF('Line finding'!$B53="","",IF(ISBLANK('Line finding'!F53),"",'Line finding'!F53))</f>
        <v/>
      </c>
      <c r="F53" s="3">
        <f>IF('Line finding'!$B53="","",IF(ISBLANK('Line finding'!G53),"",'Line finding'!G53))</f>
        <v>8.9999999999999996E-12</v>
      </c>
      <c r="G53" s="3">
        <f>IF('Line finding'!$B53="","",IF(ISBLANK('Line finding'!H53),"",'Line finding'!H53))</f>
        <v>1.2500000000000001E-10</v>
      </c>
      <c r="H53" s="3">
        <f>IF('Line finding'!$B53="","",IF(ISBLANK('Line finding'!I53),"",'Line finding'!I53))</f>
        <v>2.0000000000000001E-10</v>
      </c>
      <c r="I53" s="5" t="str">
        <f>IF('Line finding'!$B53="","",IF(ISBLANK('Line finding'!J53),"",'Line finding'!J53))</f>
        <v/>
      </c>
    </row>
    <row r="54" spans="1:9" x14ac:dyDescent="0.25">
      <c r="A54" s="5">
        <f>IF('Line finding'!$B54="","",'Line finding'!B54)</f>
        <v>6.568075E-7</v>
      </c>
      <c r="B54" s="5" t="str">
        <f>IF('Line finding'!$B54="","",IF(ISBLANK('Line finding'!C54),"",'Line finding'!C54))</f>
        <v/>
      </c>
      <c r="C54" s="5" t="str">
        <f>IF('Line finding'!$B54="","",IF(ISBLANK('Line finding'!D54),"",'Line finding'!D54))</f>
        <v>VoigtApparatus</v>
      </c>
      <c r="D54">
        <f>IF('Line finding'!$B54="","",IF(ISBLANK('Line finding'!E54),"",'Line finding'!E54))</f>
        <v>0</v>
      </c>
      <c r="E54" t="str">
        <f>IF('Line finding'!$B54="","",IF(ISBLANK('Line finding'!F54),"",'Line finding'!F54))</f>
        <v/>
      </c>
      <c r="F54" s="3">
        <f>IF('Line finding'!$B54="","",IF(ISBLANK('Line finding'!G54),"",'Line finding'!G54))</f>
        <v>8.9999999999999996E-12</v>
      </c>
      <c r="G54" s="3">
        <f>IF('Line finding'!$B54="","",IF(ISBLANK('Line finding'!H54),"",'Line finding'!H54))</f>
        <v>1.2500000000000001E-10</v>
      </c>
      <c r="H54" s="3">
        <f>IF('Line finding'!$B54="","",IF(ISBLANK('Line finding'!I54),"",'Line finding'!I54))</f>
        <v>2.0000000000000001E-10</v>
      </c>
      <c r="I54" s="5" t="str">
        <f>IF('Line finding'!$B54="","",IF(ISBLANK('Line finding'!J54),"",'Line finding'!J54))</f>
        <v/>
      </c>
    </row>
    <row r="55" spans="1:9" x14ac:dyDescent="0.25">
      <c r="A55" s="5">
        <f>IF('Line finding'!$B55="","",'Line finding'!B55)</f>
        <v>6.5696259999999998E-7</v>
      </c>
      <c r="B55" s="5" t="str">
        <f>IF('Line finding'!$B55="","",IF(ISBLANK('Line finding'!C55),"",'Line finding'!C55))</f>
        <v/>
      </c>
      <c r="C55" s="5" t="str">
        <f>IF('Line finding'!$B55="","",IF(ISBLANK('Line finding'!D55),"",'Line finding'!D55))</f>
        <v>VoigtApparatus</v>
      </c>
      <c r="D55">
        <f>IF('Line finding'!$B55="","",IF(ISBLANK('Line finding'!E55),"",'Line finding'!E55))</f>
        <v>0</v>
      </c>
      <c r="E55" t="str">
        <f>IF('Line finding'!$B55="","",IF(ISBLANK('Line finding'!F55),"",'Line finding'!F55))</f>
        <v/>
      </c>
      <c r="F55" s="3">
        <f>IF('Line finding'!$B55="","",IF(ISBLANK('Line finding'!G55),"",'Line finding'!G55))</f>
        <v>8.9999999999999996E-12</v>
      </c>
      <c r="G55" s="3">
        <f>IF('Line finding'!$B55="","",IF(ISBLANK('Line finding'!H55),"",'Line finding'!H55))</f>
        <v>1.2500000000000001E-10</v>
      </c>
      <c r="H55" s="3">
        <f>IF('Line finding'!$B55="","",IF(ISBLANK('Line finding'!I55),"",'Line finding'!I55))</f>
        <v>2.0000000000000001E-10</v>
      </c>
      <c r="I55" s="5" t="str">
        <f>IF('Line finding'!$B55="","",IF(ISBLANK('Line finding'!J55),"",'Line finding'!J55))</f>
        <v/>
      </c>
    </row>
    <row r="56" spans="1:9" x14ac:dyDescent="0.25">
      <c r="A56" s="5">
        <f>IF('Line finding'!$B56="","",'Line finding'!B56)</f>
        <v>6.5705129999999997E-7</v>
      </c>
      <c r="B56" s="5" t="str">
        <f>IF('Line finding'!$B56="","",IF(ISBLANK('Line finding'!C56),"",'Line finding'!C56))</f>
        <v/>
      </c>
      <c r="C56" s="5" t="str">
        <f>IF('Line finding'!$B56="","",IF(ISBLANK('Line finding'!D56),"",'Line finding'!D56))</f>
        <v>VoigtApparatus</v>
      </c>
      <c r="D56">
        <f>IF('Line finding'!$B56="","",IF(ISBLANK('Line finding'!E56),"",'Line finding'!E56))</f>
        <v>0</v>
      </c>
      <c r="E56" t="str">
        <f>IF('Line finding'!$B56="","",IF(ISBLANK('Line finding'!F56),"",'Line finding'!F56))</f>
        <v/>
      </c>
      <c r="F56" s="3">
        <f>IF('Line finding'!$B56="","",IF(ISBLANK('Line finding'!G56),"",'Line finding'!G56))</f>
        <v>8.9999999999999996E-12</v>
      </c>
      <c r="G56" s="3">
        <f>IF('Line finding'!$B56="","",IF(ISBLANK('Line finding'!H56),"",'Line finding'!H56))</f>
        <v>1.2500000000000001E-10</v>
      </c>
      <c r="H56" s="3">
        <f>IF('Line finding'!$B56="","",IF(ISBLANK('Line finding'!I56),"",'Line finding'!I56))</f>
        <v>2.0000000000000001E-10</v>
      </c>
      <c r="I56" s="5" t="str">
        <f>IF('Line finding'!$B56="","",IF(ISBLANK('Line finding'!J56),"",'Line finding'!J56))</f>
        <v/>
      </c>
    </row>
    <row r="57" spans="1:9" x14ac:dyDescent="0.25">
      <c r="A57" s="5">
        <f>IF('Line finding'!$B57="","",'Line finding'!B57)</f>
        <v>6.5710809999999998E-7</v>
      </c>
      <c r="B57" s="5" t="str">
        <f>IF('Line finding'!$B57="","",IF(ISBLANK('Line finding'!C57),"",'Line finding'!C57))</f>
        <v/>
      </c>
      <c r="C57" s="5" t="str">
        <f>IF('Line finding'!$B57="","",IF(ISBLANK('Line finding'!D57),"",'Line finding'!D57))</f>
        <v>VoigtApparatus</v>
      </c>
      <c r="D57">
        <f>IF('Line finding'!$B57="","",IF(ISBLANK('Line finding'!E57),"",'Line finding'!E57))</f>
        <v>0</v>
      </c>
      <c r="E57" t="str">
        <f>IF('Line finding'!$B57="","",IF(ISBLANK('Line finding'!F57),"",'Line finding'!F57))</f>
        <v/>
      </c>
      <c r="F57" s="3">
        <f>IF('Line finding'!$B57="","",IF(ISBLANK('Line finding'!G57),"",'Line finding'!G57))</f>
        <v>8.9999999999999996E-12</v>
      </c>
      <c r="G57" s="3">
        <f>IF('Line finding'!$B57="","",IF(ISBLANK('Line finding'!H57),"",'Line finding'!H57))</f>
        <v>1.2500000000000001E-10</v>
      </c>
      <c r="H57" s="3">
        <f>IF('Line finding'!$B57="","",IF(ISBLANK('Line finding'!I57),"",'Line finding'!I57))</f>
        <v>2.0000000000000001E-10</v>
      </c>
      <c r="I57" s="5" t="str">
        <f>IF('Line finding'!$B57="","",IF(ISBLANK('Line finding'!J57),"",'Line finding'!J57))</f>
        <v/>
      </c>
    </row>
    <row r="58" spans="1:9" x14ac:dyDescent="0.25">
      <c r="A58" s="5">
        <f>IF('Line finding'!$B58="","",'Line finding'!B58)</f>
        <v>6.5724049999999999E-7</v>
      </c>
      <c r="B58" s="5" t="str">
        <f>IF('Line finding'!$B58="","",IF(ISBLANK('Line finding'!C58),"",'Line finding'!C58))</f>
        <v/>
      </c>
      <c r="C58" s="5" t="str">
        <f>IF('Line finding'!$B58="","",IF(ISBLANK('Line finding'!D58),"",'Line finding'!D58))</f>
        <v>VoigtApparatus</v>
      </c>
      <c r="D58">
        <f>IF('Line finding'!$B58="","",IF(ISBLANK('Line finding'!E58),"",'Line finding'!E58))</f>
        <v>0</v>
      </c>
      <c r="E58" t="str">
        <f>IF('Line finding'!$B58="","",IF(ISBLANK('Line finding'!F58),"",'Line finding'!F58))</f>
        <v/>
      </c>
      <c r="F58" s="3">
        <f>IF('Line finding'!$B58="","",IF(ISBLANK('Line finding'!G58),"",'Line finding'!G58))</f>
        <v>8.9999999999999996E-12</v>
      </c>
      <c r="G58" s="3">
        <f>IF('Line finding'!$B58="","",IF(ISBLANK('Line finding'!H58),"",'Line finding'!H58))</f>
        <v>1.2500000000000001E-10</v>
      </c>
      <c r="H58" s="3">
        <f>IF('Line finding'!$B58="","",IF(ISBLANK('Line finding'!I58),"",'Line finding'!I58))</f>
        <v>2.0000000000000001E-10</v>
      </c>
      <c r="I58" s="5" t="str">
        <f>IF('Line finding'!$B58="","",IF(ISBLANK('Line finding'!J58),"",'Line finding'!J58))</f>
        <v/>
      </c>
    </row>
    <row r="59" spans="1:9" x14ac:dyDescent="0.25">
      <c r="A59" s="5">
        <f>IF('Line finding'!$B59="","",'Line finding'!B59)</f>
        <v>6.5738999999999999E-7</v>
      </c>
      <c r="B59" s="5" t="str">
        <f>IF('Line finding'!$B59="","",IF(ISBLANK('Line finding'!C59),"",'Line finding'!C59))</f>
        <v>W1</v>
      </c>
      <c r="C59" s="5" t="str">
        <f>IF('Line finding'!$B59="","",IF(ISBLANK('Line finding'!D59),"",'Line finding'!D59))</f>
        <v>VoigtApparatus</v>
      </c>
      <c r="D59">
        <f>IF('Line finding'!$B59="","",IF(ISBLANK('Line finding'!E59),"",'Line finding'!E59))</f>
        <v>1</v>
      </c>
      <c r="E59" t="str">
        <f>IF('Line finding'!$B59="","",IF(ISBLANK('Line finding'!F59),"",'Line finding'!F59))</f>
        <v/>
      </c>
      <c r="F59" s="3">
        <f>IF('Line finding'!$B59="","",IF(ISBLANK('Line finding'!G59),"",'Line finding'!G59))</f>
        <v>8.9999999999999996E-12</v>
      </c>
      <c r="G59" s="3">
        <f>IF('Line finding'!$B59="","",IF(ISBLANK('Line finding'!H59),"",'Line finding'!H59))</f>
        <v>1.2500000000000001E-10</v>
      </c>
      <c r="H59" s="3">
        <f>IF('Line finding'!$B59="","",IF(ISBLANK('Line finding'!I59),"",'Line finding'!I59))</f>
        <v>3E-10</v>
      </c>
      <c r="I59" s="5" t="str">
        <f>IF('Line finding'!$B59="","",IF(ISBLANK('Line finding'!J59),"",'Line finding'!J59))</f>
        <v>shape = $W1_width_var</v>
      </c>
    </row>
    <row r="60" spans="1:9" x14ac:dyDescent="0.25">
      <c r="A60" s="5">
        <f>IF('Line finding'!$B60="","",'Line finding'!B60)</f>
        <v>6.5741080000000016E-7</v>
      </c>
      <c r="B60" s="5" t="str">
        <f>IF('Line finding'!$B60="","",IF(ISBLANK('Line finding'!C60),"",'Line finding'!C60))</f>
        <v/>
      </c>
      <c r="C60" s="5" t="str">
        <f>IF('Line finding'!$B60="","",IF(ISBLANK('Line finding'!D60),"",'Line finding'!D60))</f>
        <v>VoigtApparatus</v>
      </c>
      <c r="D60">
        <f>IF('Line finding'!$B60="","",IF(ISBLANK('Line finding'!E60),"",'Line finding'!E60))</f>
        <v>0</v>
      </c>
      <c r="E60" t="str">
        <f>IF('Line finding'!$B60="","",IF(ISBLANK('Line finding'!F60),"",'Line finding'!F60))</f>
        <v/>
      </c>
      <c r="F60" s="3">
        <f>IF('Line finding'!$B60="","",IF(ISBLANK('Line finding'!G60),"",'Line finding'!G60))</f>
        <v>8.9999999999999996E-12</v>
      </c>
      <c r="G60" s="3">
        <f>IF('Line finding'!$B60="","",IF(ISBLANK('Line finding'!H60),"",'Line finding'!H60))</f>
        <v>1.2500000000000001E-10</v>
      </c>
      <c r="H60" s="3">
        <f>IF('Line finding'!$B60="","",IF(ISBLANK('Line finding'!I60),"",'Line finding'!I60))</f>
        <v>2.0000000000000001E-10</v>
      </c>
      <c r="I60" s="5" t="str">
        <f>IF('Line finding'!$B60="","",IF(ISBLANK('Line finding'!J60),"",'Line finding'!J60))</f>
        <v/>
      </c>
    </row>
    <row r="61" spans="1:9" x14ac:dyDescent="0.25">
      <c r="A61" s="5">
        <f>IF('Line finding'!$B61="","",'Line finding'!B61)</f>
        <v>6.5751580000000009E-7</v>
      </c>
      <c r="B61" s="5" t="str">
        <f>IF('Line finding'!$B61="","",IF(ISBLANK('Line finding'!C61),"",'Line finding'!C61))</f>
        <v/>
      </c>
      <c r="C61" s="5" t="str">
        <f>IF('Line finding'!$B61="","",IF(ISBLANK('Line finding'!D61),"",'Line finding'!D61))</f>
        <v>VoigtApparatus</v>
      </c>
      <c r="D61">
        <f>IF('Line finding'!$B61="","",IF(ISBLANK('Line finding'!E61),"",'Line finding'!E61))</f>
        <v>1</v>
      </c>
      <c r="E61" t="str">
        <f>IF('Line finding'!$B61="","",IF(ISBLANK('Line finding'!F61),"",'Line finding'!F61))</f>
        <v/>
      </c>
      <c r="F61" s="3">
        <f>IF('Line finding'!$B61="","",IF(ISBLANK('Line finding'!G61),"",'Line finding'!G61))</f>
        <v>8.9999999999999996E-12</v>
      </c>
      <c r="G61" s="3">
        <f>IF('Line finding'!$B61="","",IF(ISBLANK('Line finding'!H61),"",'Line finding'!H61))</f>
        <v>1.2500000000000001E-10</v>
      </c>
      <c r="H61" s="3">
        <f>IF('Line finding'!$B61="","",IF(ISBLANK('Line finding'!I61),"",'Line finding'!I61))</f>
        <v>2.0000000000000001E-10</v>
      </c>
      <c r="I61" s="5" t="str">
        <f>IF('Line finding'!$B61="","",IF(ISBLANK('Line finding'!J61),"",'Line finding'!J61))</f>
        <v/>
      </c>
    </row>
    <row r="62" spans="1:9" x14ac:dyDescent="0.25">
      <c r="A62" s="5">
        <f>IF('Line finding'!$B62="","",'Line finding'!B62)</f>
        <v>6.5753020000000013E-7</v>
      </c>
      <c r="B62" s="5" t="str">
        <f>IF('Line finding'!$B62="","",IF(ISBLANK('Line finding'!C62),"",'Line finding'!C62))</f>
        <v/>
      </c>
      <c r="C62" s="5" t="str">
        <f>IF('Line finding'!$B62="","",IF(ISBLANK('Line finding'!D62),"",'Line finding'!D62))</f>
        <v>VoigtApparatus</v>
      </c>
      <c r="D62">
        <f>IF('Line finding'!$B62="","",IF(ISBLANK('Line finding'!E62),"",'Line finding'!E62))</f>
        <v>0</v>
      </c>
      <c r="E62" t="str">
        <f>IF('Line finding'!$B62="","",IF(ISBLANK('Line finding'!F62),"",'Line finding'!F62))</f>
        <v/>
      </c>
      <c r="F62" s="3">
        <f>IF('Line finding'!$B62="","",IF(ISBLANK('Line finding'!G62),"",'Line finding'!G62))</f>
        <v>8.9999999999999996E-12</v>
      </c>
      <c r="G62" s="3">
        <f>IF('Line finding'!$B62="","",IF(ISBLANK('Line finding'!H62),"",'Line finding'!H62))</f>
        <v>1.2500000000000001E-10</v>
      </c>
      <c r="H62" s="3">
        <f>IF('Line finding'!$B62="","",IF(ISBLANK('Line finding'!I62),"",'Line finding'!I62))</f>
        <v>2.0000000000000001E-10</v>
      </c>
      <c r="I62" s="5" t="str">
        <f>IF('Line finding'!$B62="","",IF(ISBLANK('Line finding'!J62),"",'Line finding'!J62))</f>
        <v/>
      </c>
    </row>
    <row r="63" spans="1:9" x14ac:dyDescent="0.25">
      <c r="A63" s="5">
        <f>IF('Line finding'!$B63="","",'Line finding'!B63)</f>
        <v>6.576503000000001E-7</v>
      </c>
      <c r="B63" s="5" t="str">
        <f>IF('Line finding'!$B63="","",IF(ISBLANK('Line finding'!C63),"",'Line finding'!C63))</f>
        <v/>
      </c>
      <c r="C63" s="5" t="str">
        <f>IF('Line finding'!$B63="","",IF(ISBLANK('Line finding'!D63),"",'Line finding'!D63))</f>
        <v>VoigtApparatus</v>
      </c>
      <c r="D63">
        <f>IF('Line finding'!$B63="","",IF(ISBLANK('Line finding'!E63),"",'Line finding'!E63))</f>
        <v>0</v>
      </c>
      <c r="E63" t="str">
        <f>IF('Line finding'!$B63="","",IF(ISBLANK('Line finding'!F63),"",'Line finding'!F63))</f>
        <v/>
      </c>
      <c r="F63" s="3">
        <f>IF('Line finding'!$B63="","",IF(ISBLANK('Line finding'!G63),"",'Line finding'!G63))</f>
        <v>8.9999999999999996E-12</v>
      </c>
      <c r="G63" s="3">
        <f>IF('Line finding'!$B63="","",IF(ISBLANK('Line finding'!H63),"",'Line finding'!H63))</f>
        <v>1.2500000000000001E-10</v>
      </c>
      <c r="H63" s="3">
        <f>IF('Line finding'!$B63="","",IF(ISBLANK('Line finding'!I63),"",'Line finding'!I63))</f>
        <v>2.0000000000000001E-10</v>
      </c>
      <c r="I63" s="5" t="str">
        <f>IF('Line finding'!$B63="","",IF(ISBLANK('Line finding'!J63),"",'Line finding'!J63))</f>
        <v/>
      </c>
    </row>
    <row r="64" spans="1:9" x14ac:dyDescent="0.25">
      <c r="A64" s="5">
        <f>IF('Line finding'!$B64="","",'Line finding'!B64)</f>
        <v>6.577963E-7</v>
      </c>
      <c r="B64" s="5" t="str">
        <f>IF('Line finding'!$B64="","",IF(ISBLANK('Line finding'!C64),"",'Line finding'!C64))</f>
        <v/>
      </c>
      <c r="C64" s="5" t="str">
        <f>IF('Line finding'!$B64="","",IF(ISBLANK('Line finding'!D64),"",'Line finding'!D64))</f>
        <v>VoigtApparatus</v>
      </c>
      <c r="D64">
        <f>IF('Line finding'!$B64="","",IF(ISBLANK('Line finding'!E64),"",'Line finding'!E64))</f>
        <v>0</v>
      </c>
      <c r="E64" t="str">
        <f>IF('Line finding'!$B64="","",IF(ISBLANK('Line finding'!F64),"",'Line finding'!F64))</f>
        <v/>
      </c>
      <c r="F64" s="3">
        <f>IF('Line finding'!$B64="","",IF(ISBLANK('Line finding'!G64),"",'Line finding'!G64))</f>
        <v>8.9999999999999996E-12</v>
      </c>
      <c r="G64" s="3">
        <f>IF('Line finding'!$B64="","",IF(ISBLANK('Line finding'!H64),"",'Line finding'!H64))</f>
        <v>1.2500000000000001E-10</v>
      </c>
      <c r="H64" s="3">
        <f>IF('Line finding'!$B64="","",IF(ISBLANK('Line finding'!I64),"",'Line finding'!I64))</f>
        <v>2.0000000000000001E-10</v>
      </c>
      <c r="I64" s="5" t="str">
        <f>IF('Line finding'!$B64="","",IF(ISBLANK('Line finding'!J64),"",'Line finding'!J64))</f>
        <v/>
      </c>
    </row>
    <row r="65" spans="1:9" x14ac:dyDescent="0.25">
      <c r="A65" s="5">
        <f>IF('Line finding'!$B65="","",'Line finding'!B65)</f>
        <v>6.5802550000000006E-7</v>
      </c>
      <c r="B65" s="5" t="str">
        <f>IF('Line finding'!$B65="","",IF(ISBLANK('Line finding'!C65),"",'Line finding'!C65))</f>
        <v/>
      </c>
      <c r="C65" s="5" t="str">
        <f>IF('Line finding'!$B65="","",IF(ISBLANK('Line finding'!D65),"",'Line finding'!D65))</f>
        <v>VoigtApparatus</v>
      </c>
      <c r="D65">
        <f>IF('Line finding'!$B65="","",IF(ISBLANK('Line finding'!E65),"",'Line finding'!E65))</f>
        <v>0</v>
      </c>
      <c r="E65" t="str">
        <f>IF('Line finding'!$B65="","",IF(ISBLANK('Line finding'!F65),"",'Line finding'!F65))</f>
        <v/>
      </c>
      <c r="F65" s="3">
        <f>IF('Line finding'!$B65="","",IF(ISBLANK('Line finding'!G65),"",'Line finding'!G65))</f>
        <v>8.9999999999999996E-12</v>
      </c>
      <c r="G65" s="3">
        <f>IF('Line finding'!$B65="","",IF(ISBLANK('Line finding'!H65),"",'Line finding'!H65))</f>
        <v>1.2500000000000001E-10</v>
      </c>
      <c r="H65" s="3">
        <f>IF('Line finding'!$B65="","",IF(ISBLANK('Line finding'!I65),"",'Line finding'!I65))</f>
        <v>2.0000000000000001E-10</v>
      </c>
      <c r="I65" s="5" t="str">
        <f>IF('Line finding'!$B65="","",IF(ISBLANK('Line finding'!J65),"",'Line finding'!J65))</f>
        <v/>
      </c>
    </row>
    <row r="66" spans="1:9" x14ac:dyDescent="0.25">
      <c r="A66" s="5">
        <f>IF('Line finding'!$B66="","",'Line finding'!B66)</f>
        <v>6.5817960000000012E-7</v>
      </c>
      <c r="B66" s="5" t="str">
        <f>IF('Line finding'!$B66="","",IF(ISBLANK('Line finding'!C66),"",'Line finding'!C66))</f>
        <v/>
      </c>
      <c r="C66" s="5" t="str">
        <f>IF('Line finding'!$B66="","",IF(ISBLANK('Line finding'!D66),"",'Line finding'!D66))</f>
        <v>VoigtApparatus</v>
      </c>
      <c r="D66">
        <f>IF('Line finding'!$B66="","",IF(ISBLANK('Line finding'!E66),"",'Line finding'!E66))</f>
        <v>0</v>
      </c>
      <c r="E66" t="str">
        <f>IF('Line finding'!$B66="","",IF(ISBLANK('Line finding'!F66),"",'Line finding'!F66))</f>
        <v/>
      </c>
      <c r="F66" s="3">
        <f>IF('Line finding'!$B66="","",IF(ISBLANK('Line finding'!G66),"",'Line finding'!G66))</f>
        <v>8.9999999999999996E-12</v>
      </c>
      <c r="G66" s="3">
        <f>IF('Line finding'!$B66="","",IF(ISBLANK('Line finding'!H66),"",'Line finding'!H66))</f>
        <v>1.2500000000000001E-10</v>
      </c>
      <c r="H66" s="3">
        <f>IF('Line finding'!$B66="","",IF(ISBLANK('Line finding'!I66),"",'Line finding'!I66))</f>
        <v>2.0000000000000001E-10</v>
      </c>
      <c r="I66" s="5" t="str">
        <f>IF('Line finding'!$B66="","",IF(ISBLANK('Line finding'!J66),"",'Line finding'!J66))</f>
        <v/>
      </c>
    </row>
    <row r="67" spans="1:9" x14ac:dyDescent="0.25">
      <c r="A67" s="5">
        <f>IF('Line finding'!$B67="","",'Line finding'!B67)</f>
        <v>6.5829300000000003E-7</v>
      </c>
      <c r="B67" s="5" t="str">
        <f>IF('Line finding'!$B67="","",IF(ISBLANK('Line finding'!C67),"",'Line finding'!C67))</f>
        <v/>
      </c>
      <c r="C67" s="5" t="str">
        <f>IF('Line finding'!$B67="","",IF(ISBLANK('Line finding'!D67),"",'Line finding'!D67))</f>
        <v>VoigtApparatus</v>
      </c>
      <c r="D67">
        <f>IF('Line finding'!$B67="","",IF(ISBLANK('Line finding'!E67),"",'Line finding'!E67))</f>
        <v>1</v>
      </c>
      <c r="E67" t="str">
        <f>IF('Line finding'!$B67="","",IF(ISBLANK('Line finding'!F67),"",'Line finding'!F67))</f>
        <v/>
      </c>
      <c r="F67" s="3">
        <f>IF('Line finding'!$B67="","",IF(ISBLANK('Line finding'!G67),"",'Line finding'!G67))</f>
        <v>8.9999999999999996E-12</v>
      </c>
      <c r="G67" s="3">
        <f>IF('Line finding'!$B67="","",IF(ISBLANK('Line finding'!H67),"",'Line finding'!H67))</f>
        <v>1.2500000000000001E-10</v>
      </c>
      <c r="H67" s="3">
        <f>IF('Line finding'!$B67="","",IF(ISBLANK('Line finding'!I67),"",'Line finding'!I67))</f>
        <v>2.0000000000000001E-10</v>
      </c>
      <c r="I67" s="5" t="str">
        <f>IF('Line finding'!$B67="","",IF(ISBLANK('Line finding'!J67),"",'Line finding'!J67))</f>
        <v/>
      </c>
    </row>
    <row r="68" spans="1:9" x14ac:dyDescent="0.25">
      <c r="A68" s="5">
        <f>IF('Line finding'!$B68="","",'Line finding'!B68)</f>
        <v>6.5829750000000005E-7</v>
      </c>
      <c r="B68" s="5" t="str">
        <f>IF('Line finding'!$B68="","",IF(ISBLANK('Line finding'!C68),"",'Line finding'!C68))</f>
        <v/>
      </c>
      <c r="C68" s="5" t="str">
        <f>IF('Line finding'!$B68="","",IF(ISBLANK('Line finding'!D68),"",'Line finding'!D68))</f>
        <v>VoigtApparatus</v>
      </c>
      <c r="D68">
        <f>IF('Line finding'!$B68="","",IF(ISBLANK('Line finding'!E68),"",'Line finding'!E68))</f>
        <v>0</v>
      </c>
      <c r="E68" t="str">
        <f>IF('Line finding'!$B68="","",IF(ISBLANK('Line finding'!F68),"",'Line finding'!F68))</f>
        <v/>
      </c>
      <c r="F68" s="3">
        <f>IF('Line finding'!$B68="","",IF(ISBLANK('Line finding'!G68),"",'Line finding'!G68))</f>
        <v>8.9999999999999996E-12</v>
      </c>
      <c r="G68" s="3">
        <f>IF('Line finding'!$B68="","",IF(ISBLANK('Line finding'!H68),"",'Line finding'!H68))</f>
        <v>1.2500000000000001E-10</v>
      </c>
      <c r="H68" s="3">
        <f>IF('Line finding'!$B68="","",IF(ISBLANK('Line finding'!I68),"",'Line finding'!I68))</f>
        <v>2.0000000000000001E-10</v>
      </c>
      <c r="I68" s="5" t="str">
        <f>IF('Line finding'!$B68="","",IF(ISBLANK('Line finding'!J68),"",'Line finding'!J68))</f>
        <v/>
      </c>
    </row>
    <row r="69" spans="1:9" x14ac:dyDescent="0.25">
      <c r="A69" s="5">
        <f>IF('Line finding'!$B69="","",'Line finding'!B69)</f>
        <v>6.5851290000000013E-7</v>
      </c>
      <c r="B69" s="5" t="str">
        <f>IF('Line finding'!$B69="","",IF(ISBLANK('Line finding'!C69),"",'Line finding'!C69))</f>
        <v/>
      </c>
      <c r="C69" s="5" t="str">
        <f>IF('Line finding'!$B69="","",IF(ISBLANK('Line finding'!D69),"",'Line finding'!D69))</f>
        <v>VoigtApparatus</v>
      </c>
      <c r="D69">
        <f>IF('Line finding'!$B69="","",IF(ISBLANK('Line finding'!E69),"",'Line finding'!E69))</f>
        <v>0</v>
      </c>
      <c r="E69" t="str">
        <f>IF('Line finding'!$B69="","",IF(ISBLANK('Line finding'!F69),"",'Line finding'!F69))</f>
        <v/>
      </c>
      <c r="F69" s="3">
        <f>IF('Line finding'!$B69="","",IF(ISBLANK('Line finding'!G69),"",'Line finding'!G69))</f>
        <v>8.9999999999999996E-12</v>
      </c>
      <c r="G69" s="3">
        <f>IF('Line finding'!$B69="","",IF(ISBLANK('Line finding'!H69),"",'Line finding'!H69))</f>
        <v>1.2500000000000001E-10</v>
      </c>
      <c r="H69" s="3">
        <f>IF('Line finding'!$B69="","",IF(ISBLANK('Line finding'!I69),"",'Line finding'!I69))</f>
        <v>2.0000000000000001E-10</v>
      </c>
      <c r="I69" s="5" t="str">
        <f>IF('Line finding'!$B69="","",IF(ISBLANK('Line finding'!J69),"",'Line finding'!J69))</f>
        <v/>
      </c>
    </row>
    <row r="70" spans="1:9" x14ac:dyDescent="0.25">
      <c r="A70" s="5">
        <f>IF('Line finding'!$B70="","",'Line finding'!B70)</f>
        <v>6.5860479999999998E-7</v>
      </c>
      <c r="B70" s="5" t="str">
        <f>IF('Line finding'!$B70="","",IF(ISBLANK('Line finding'!C70),"",'Line finding'!C70))</f>
        <v/>
      </c>
      <c r="C70" s="5" t="str">
        <f>IF('Line finding'!$B70="","",IF(ISBLANK('Line finding'!D70),"",'Line finding'!D70))</f>
        <v>VoigtApparatus</v>
      </c>
      <c r="D70">
        <f>IF('Line finding'!$B70="","",IF(ISBLANK('Line finding'!E70),"",'Line finding'!E70))</f>
        <v>0</v>
      </c>
      <c r="E70" t="str">
        <f>IF('Line finding'!$B70="","",IF(ISBLANK('Line finding'!F70),"",'Line finding'!F70))</f>
        <v/>
      </c>
      <c r="F70" s="3">
        <f>IF('Line finding'!$B70="","",IF(ISBLANK('Line finding'!G70),"",'Line finding'!G70))</f>
        <v>8.9999999999999996E-12</v>
      </c>
      <c r="G70" s="3">
        <f>IF('Line finding'!$B70="","",IF(ISBLANK('Line finding'!H70),"",'Line finding'!H70))</f>
        <v>1.2500000000000001E-10</v>
      </c>
      <c r="H70" s="3">
        <f>IF('Line finding'!$B70="","",IF(ISBLANK('Line finding'!I70),"",'Line finding'!I70))</f>
        <v>2.0000000000000001E-10</v>
      </c>
      <c r="I70" s="5" t="str">
        <f>IF('Line finding'!$B70="","",IF(ISBLANK('Line finding'!J70),"",'Line finding'!J70))</f>
        <v/>
      </c>
    </row>
    <row r="71" spans="1:9" x14ac:dyDescent="0.25">
      <c r="A71" s="5">
        <f>IF('Line finding'!$B71="","",'Line finding'!B71)</f>
        <v>6.5870430000000008E-7</v>
      </c>
      <c r="B71" s="5" t="str">
        <f>IF('Line finding'!$B71="","",IF(ISBLANK('Line finding'!C71),"",'Line finding'!C71))</f>
        <v/>
      </c>
      <c r="C71" s="5" t="str">
        <f>IF('Line finding'!$B71="","",IF(ISBLANK('Line finding'!D71),"",'Line finding'!D71))</f>
        <v>VoigtApparatus</v>
      </c>
      <c r="D71">
        <f>IF('Line finding'!$B71="","",IF(ISBLANK('Line finding'!E71),"",'Line finding'!E71))</f>
        <v>0</v>
      </c>
      <c r="E71" t="str">
        <f>IF('Line finding'!$B71="","",IF(ISBLANK('Line finding'!F71),"",'Line finding'!F71))</f>
        <v/>
      </c>
      <c r="F71" s="3">
        <f>IF('Line finding'!$B71="","",IF(ISBLANK('Line finding'!G71),"",'Line finding'!G71))</f>
        <v>8.9999999999999996E-12</v>
      </c>
      <c r="G71" s="3">
        <f>IF('Line finding'!$B71="","",IF(ISBLANK('Line finding'!H71),"",'Line finding'!H71))</f>
        <v>1.2500000000000001E-10</v>
      </c>
      <c r="H71" s="3">
        <f>IF('Line finding'!$B71="","",IF(ISBLANK('Line finding'!I71),"",'Line finding'!I71))</f>
        <v>2.0000000000000001E-10</v>
      </c>
      <c r="I71" s="5" t="str">
        <f>IF('Line finding'!$B71="","",IF(ISBLANK('Line finding'!J71),"",'Line finding'!J71))</f>
        <v/>
      </c>
    </row>
    <row r="72" spans="1:9" x14ac:dyDescent="0.25">
      <c r="A72" s="5">
        <f>IF('Line finding'!$B72="","",'Line finding'!B72)</f>
        <v>6.5877620000000001E-7</v>
      </c>
      <c r="B72" s="5" t="str">
        <f>IF('Line finding'!$B72="","",IF(ISBLANK('Line finding'!C72),"",'Line finding'!C72))</f>
        <v/>
      </c>
      <c r="C72" s="5" t="str">
        <f>IF('Line finding'!$B72="","",IF(ISBLANK('Line finding'!D72),"",'Line finding'!D72))</f>
        <v>VoigtApparatus</v>
      </c>
      <c r="D72">
        <f>IF('Line finding'!$B72="","",IF(ISBLANK('Line finding'!E72),"",'Line finding'!E72))</f>
        <v>0</v>
      </c>
      <c r="E72" t="str">
        <f>IF('Line finding'!$B72="","",IF(ISBLANK('Line finding'!F72),"",'Line finding'!F72))</f>
        <v/>
      </c>
      <c r="F72" s="3">
        <f>IF('Line finding'!$B72="","",IF(ISBLANK('Line finding'!G72),"",'Line finding'!G72))</f>
        <v>8.9999999999999996E-12</v>
      </c>
      <c r="G72" s="3">
        <f>IF('Line finding'!$B72="","",IF(ISBLANK('Line finding'!H72),"",'Line finding'!H72))</f>
        <v>1.2500000000000001E-10</v>
      </c>
      <c r="H72" s="3">
        <f>IF('Line finding'!$B72="","",IF(ISBLANK('Line finding'!I72),"",'Line finding'!I72))</f>
        <v>2.0000000000000001E-10</v>
      </c>
      <c r="I72" s="5" t="str">
        <f>IF('Line finding'!$B72="","",IF(ISBLANK('Line finding'!J72),"",'Line finding'!J72))</f>
        <v/>
      </c>
    </row>
    <row r="73" spans="1:9" x14ac:dyDescent="0.25">
      <c r="A73" s="5">
        <f>IF('Line finding'!$B73="","",'Line finding'!B73)</f>
        <v>6.5904739999999995E-7</v>
      </c>
      <c r="B73" s="5" t="str">
        <f>IF('Line finding'!$B73="","",IF(ISBLANK('Line finding'!C73),"",'Line finding'!C73))</f>
        <v/>
      </c>
      <c r="C73" s="5" t="str">
        <f>IF('Line finding'!$B73="","",IF(ISBLANK('Line finding'!D73),"",'Line finding'!D73))</f>
        <v>VoigtApparatus</v>
      </c>
      <c r="D73">
        <f>IF('Line finding'!$B73="","",IF(ISBLANK('Line finding'!E73),"",'Line finding'!E73))</f>
        <v>0</v>
      </c>
      <c r="E73" t="str">
        <f>IF('Line finding'!$B73="","",IF(ISBLANK('Line finding'!F73),"",'Line finding'!F73))</f>
        <v/>
      </c>
      <c r="F73" s="3">
        <f>IF('Line finding'!$B73="","",IF(ISBLANK('Line finding'!G73),"",'Line finding'!G73))</f>
        <v>8.9999999999999996E-12</v>
      </c>
      <c r="G73" s="3">
        <f>IF('Line finding'!$B73="","",IF(ISBLANK('Line finding'!H73),"",'Line finding'!H73))</f>
        <v>1.2500000000000001E-10</v>
      </c>
      <c r="H73" s="3">
        <f>IF('Line finding'!$B73="","",IF(ISBLANK('Line finding'!I73),"",'Line finding'!I73))</f>
        <v>2.0000000000000001E-10</v>
      </c>
      <c r="I73" s="5" t="str">
        <f>IF('Line finding'!$B73="","",IF(ISBLANK('Line finding'!J73),"",'Line finding'!J73))</f>
        <v/>
      </c>
    </row>
    <row r="74" spans="1:9" x14ac:dyDescent="0.25">
      <c r="A74" s="5">
        <f>IF('Line finding'!$B74="","",'Line finding'!B74)</f>
        <v>6.5917349999999998E-7</v>
      </c>
      <c r="B74" s="5" t="str">
        <f>IF('Line finding'!$B74="","",IF(ISBLANK('Line finding'!C74),"",'Line finding'!C74))</f>
        <v/>
      </c>
      <c r="C74" s="5" t="str">
        <f>IF('Line finding'!$B74="","",IF(ISBLANK('Line finding'!D74),"",'Line finding'!D74))</f>
        <v>VoigtApparatus</v>
      </c>
      <c r="D74">
        <f>IF('Line finding'!$B74="","",IF(ISBLANK('Line finding'!E74),"",'Line finding'!E74))</f>
        <v>0</v>
      </c>
      <c r="E74" t="str">
        <f>IF('Line finding'!$B74="","",IF(ISBLANK('Line finding'!F74),"",'Line finding'!F74))</f>
        <v/>
      </c>
      <c r="F74" s="3">
        <f>IF('Line finding'!$B74="","",IF(ISBLANK('Line finding'!G74),"",'Line finding'!G74))</f>
        <v>8.9999999999999996E-12</v>
      </c>
      <c r="G74" s="3">
        <f>IF('Line finding'!$B74="","",IF(ISBLANK('Line finding'!H74),"",'Line finding'!H74))</f>
        <v>1.2500000000000001E-10</v>
      </c>
      <c r="H74" s="3">
        <f>IF('Line finding'!$B74="","",IF(ISBLANK('Line finding'!I74),"",'Line finding'!I74))</f>
        <v>2.0000000000000001E-10</v>
      </c>
      <c r="I74" s="5" t="str">
        <f>IF('Line finding'!$B74="","",IF(ISBLANK('Line finding'!J74),"",'Line finding'!J74))</f>
        <v/>
      </c>
    </row>
    <row r="75" spans="1:9" x14ac:dyDescent="0.25">
      <c r="A75" s="5">
        <f>IF('Line finding'!$B75="","",'Line finding'!B75)</f>
        <v>6.5917360000000013E-7</v>
      </c>
      <c r="B75" s="5" t="str">
        <f>IF('Line finding'!$B75="","",IF(ISBLANK('Line finding'!C75),"",'Line finding'!C75))</f>
        <v/>
      </c>
      <c r="C75" s="5" t="str">
        <f>IF('Line finding'!$B75="","",IF(ISBLANK('Line finding'!D75),"",'Line finding'!D75))</f>
        <v>VoigtApparatus</v>
      </c>
      <c r="D75">
        <f>IF('Line finding'!$B75="","",IF(ISBLANK('Line finding'!E75),"",'Line finding'!E75))</f>
        <v>1</v>
      </c>
      <c r="E75" t="str">
        <f>IF('Line finding'!$B75="","",IF(ISBLANK('Line finding'!F75),"",'Line finding'!F75))</f>
        <v/>
      </c>
      <c r="F75" s="3">
        <f>IF('Line finding'!$B75="","",IF(ISBLANK('Line finding'!G75),"",'Line finding'!G75))</f>
        <v>8.9999999999999996E-12</v>
      </c>
      <c r="G75" s="3">
        <f>IF('Line finding'!$B75="","",IF(ISBLANK('Line finding'!H75),"",'Line finding'!H75))</f>
        <v>1.2500000000000001E-10</v>
      </c>
      <c r="H75" s="3">
        <f>IF('Line finding'!$B75="","",IF(ISBLANK('Line finding'!I75),"",'Line finding'!I75))</f>
        <v>2.0000000000000001E-10</v>
      </c>
      <c r="I75" s="5" t="str">
        <f>IF('Line finding'!$B75="","",IF(ISBLANK('Line finding'!J75),"",'Line finding'!J75))</f>
        <v/>
      </c>
    </row>
    <row r="76" spans="1:9" x14ac:dyDescent="0.25">
      <c r="A76" s="5">
        <f>IF('Line finding'!$B76="","",'Line finding'!B76)</f>
        <v>6.5931180000000012E-7</v>
      </c>
      <c r="B76" s="5" t="str">
        <f>IF('Line finding'!$B76="","",IF(ISBLANK('Line finding'!C76),"",'Line finding'!C76))</f>
        <v/>
      </c>
      <c r="C76" s="5" t="str">
        <f>IF('Line finding'!$B76="","",IF(ISBLANK('Line finding'!D76),"",'Line finding'!D76))</f>
        <v>VoigtApparatus</v>
      </c>
      <c r="D76">
        <f>IF('Line finding'!$B76="","",IF(ISBLANK('Line finding'!E76),"",'Line finding'!E76))</f>
        <v>1</v>
      </c>
      <c r="E76" t="str">
        <f>IF('Line finding'!$B76="","",IF(ISBLANK('Line finding'!F76),"",'Line finding'!F76))</f>
        <v/>
      </c>
      <c r="F76" s="3">
        <f>IF('Line finding'!$B76="","",IF(ISBLANK('Line finding'!G76),"",'Line finding'!G76))</f>
        <v>8.9999999999999996E-12</v>
      </c>
      <c r="G76" s="3">
        <f>IF('Line finding'!$B76="","",IF(ISBLANK('Line finding'!H76),"",'Line finding'!H76))</f>
        <v>1.2500000000000001E-10</v>
      </c>
      <c r="H76" s="3">
        <f>IF('Line finding'!$B76="","",IF(ISBLANK('Line finding'!I76),"",'Line finding'!I76))</f>
        <v>2.0000000000000001E-10</v>
      </c>
      <c r="I76" s="5" t="str">
        <f>IF('Line finding'!$B76="","",IF(ISBLANK('Line finding'!J76),"",'Line finding'!J76))</f>
        <v/>
      </c>
    </row>
    <row r="77" spans="1:9" x14ac:dyDescent="0.25">
      <c r="A77" s="5">
        <f>IF('Line finding'!$B77="","",'Line finding'!B77)</f>
        <v>6.5932159999999998E-7</v>
      </c>
      <c r="B77" s="5" t="str">
        <f>IF('Line finding'!$B77="","",IF(ISBLANK('Line finding'!C77),"",'Line finding'!C77))</f>
        <v/>
      </c>
      <c r="C77" s="5" t="str">
        <f>IF('Line finding'!$B77="","",IF(ISBLANK('Line finding'!D77),"",'Line finding'!D77))</f>
        <v>VoigtApparatus</v>
      </c>
      <c r="D77">
        <f>IF('Line finding'!$B77="","",IF(ISBLANK('Line finding'!E77),"",'Line finding'!E77))</f>
        <v>0</v>
      </c>
      <c r="E77" t="str">
        <f>IF('Line finding'!$B77="","",IF(ISBLANK('Line finding'!F77),"",'Line finding'!F77))</f>
        <v/>
      </c>
      <c r="F77" s="3">
        <f>IF('Line finding'!$B77="","",IF(ISBLANK('Line finding'!G77),"",'Line finding'!G77))</f>
        <v>8.9999999999999996E-12</v>
      </c>
      <c r="G77" s="3">
        <f>IF('Line finding'!$B77="","",IF(ISBLANK('Line finding'!H77),"",'Line finding'!H77))</f>
        <v>1.2500000000000001E-10</v>
      </c>
      <c r="H77" s="3">
        <f>IF('Line finding'!$B77="","",IF(ISBLANK('Line finding'!I77),"",'Line finding'!I77))</f>
        <v>2.0000000000000001E-10</v>
      </c>
      <c r="I77" s="5" t="str">
        <f>IF('Line finding'!$B77="","",IF(ISBLANK('Line finding'!J77),"",'Line finding'!J77))</f>
        <v/>
      </c>
    </row>
    <row r="78" spans="1:9" x14ac:dyDescent="0.25">
      <c r="A78" s="5">
        <f>IF('Line finding'!$B78="","",'Line finding'!B78)</f>
        <v>6.5941600000000011E-7</v>
      </c>
      <c r="B78" s="5" t="str">
        <f>IF('Line finding'!$B78="","",IF(ISBLANK('Line finding'!C78),"",'Line finding'!C78))</f>
        <v/>
      </c>
      <c r="C78" s="5" t="str">
        <f>IF('Line finding'!$B78="","",IF(ISBLANK('Line finding'!D78),"",'Line finding'!D78))</f>
        <v>VoigtApparatus</v>
      </c>
      <c r="D78">
        <f>IF('Line finding'!$B78="","",IF(ISBLANK('Line finding'!E78),"",'Line finding'!E78))</f>
        <v>0</v>
      </c>
      <c r="E78" t="str">
        <f>IF('Line finding'!$B78="","",IF(ISBLANK('Line finding'!F78),"",'Line finding'!F78))</f>
        <v/>
      </c>
      <c r="F78" s="3">
        <f>IF('Line finding'!$B78="","",IF(ISBLANK('Line finding'!G78),"",'Line finding'!G78))</f>
        <v>8.9999999999999996E-12</v>
      </c>
      <c r="G78" s="3">
        <f>IF('Line finding'!$B78="","",IF(ISBLANK('Line finding'!H78),"",'Line finding'!H78))</f>
        <v>1.2500000000000001E-10</v>
      </c>
      <c r="H78" s="3">
        <f>IF('Line finding'!$B78="","",IF(ISBLANK('Line finding'!I78),"",'Line finding'!I78))</f>
        <v>2.0000000000000001E-10</v>
      </c>
      <c r="I78" s="5" t="str">
        <f>IF('Line finding'!$B78="","",IF(ISBLANK('Line finding'!J78),"",'Line finding'!J78))</f>
        <v/>
      </c>
    </row>
    <row r="79" spans="1:9" x14ac:dyDescent="0.25">
      <c r="A79" s="5">
        <f>IF('Line finding'!$B79="","",'Line finding'!B79)</f>
        <v>6.5944470000000004E-7</v>
      </c>
      <c r="B79" s="5" t="str">
        <f>IF('Line finding'!$B79="","",IF(ISBLANK('Line finding'!C79),"",'Line finding'!C79))</f>
        <v/>
      </c>
      <c r="C79" s="5" t="str">
        <f>IF('Line finding'!$B79="","",IF(ISBLANK('Line finding'!D79),"",'Line finding'!D79))</f>
        <v>VoigtApparatus</v>
      </c>
      <c r="D79">
        <f>IF('Line finding'!$B79="","",IF(ISBLANK('Line finding'!E79),"",'Line finding'!E79))</f>
        <v>0</v>
      </c>
      <c r="E79" t="str">
        <f>IF('Line finding'!$B79="","",IF(ISBLANK('Line finding'!F79),"",'Line finding'!F79))</f>
        <v/>
      </c>
      <c r="F79" s="3">
        <f>IF('Line finding'!$B79="","",IF(ISBLANK('Line finding'!G79),"",'Line finding'!G79))</f>
        <v>8.9999999999999996E-12</v>
      </c>
      <c r="G79" s="3">
        <f>IF('Line finding'!$B79="","",IF(ISBLANK('Line finding'!H79),"",'Line finding'!H79))</f>
        <v>1.2500000000000001E-10</v>
      </c>
      <c r="H79" s="3">
        <f>IF('Line finding'!$B79="","",IF(ISBLANK('Line finding'!I79),"",'Line finding'!I79))</f>
        <v>2.0000000000000001E-10</v>
      </c>
      <c r="I79" s="5" t="str">
        <f>IF('Line finding'!$B79="","",IF(ISBLANK('Line finding'!J79),"",'Line finding'!J79))</f>
        <v/>
      </c>
    </row>
    <row r="80" spans="1:9" x14ac:dyDescent="0.25">
      <c r="A80" s="5">
        <f>IF('Line finding'!$B80="","",'Line finding'!B80)</f>
        <v>6.596007E-7</v>
      </c>
      <c r="B80" s="5" t="str">
        <f>IF('Line finding'!$B80="","",IF(ISBLANK('Line finding'!C80),"",'Line finding'!C80))</f>
        <v/>
      </c>
      <c r="C80" s="5" t="str">
        <f>IF('Line finding'!$B80="","",IF(ISBLANK('Line finding'!D80),"",'Line finding'!D80))</f>
        <v>VoigtApparatus</v>
      </c>
      <c r="D80">
        <f>IF('Line finding'!$B80="","",IF(ISBLANK('Line finding'!E80),"",'Line finding'!E80))</f>
        <v>0</v>
      </c>
      <c r="E80" t="str">
        <f>IF('Line finding'!$B80="","",IF(ISBLANK('Line finding'!F80),"",'Line finding'!F80))</f>
        <v/>
      </c>
      <c r="F80" s="3">
        <f>IF('Line finding'!$B80="","",IF(ISBLANK('Line finding'!G80),"",'Line finding'!G80))</f>
        <v>8.9999999999999996E-12</v>
      </c>
      <c r="G80" s="3">
        <f>IF('Line finding'!$B80="","",IF(ISBLANK('Line finding'!H80),"",'Line finding'!H80))</f>
        <v>1.2500000000000001E-10</v>
      </c>
      <c r="H80" s="3">
        <f>IF('Line finding'!$B80="","",IF(ISBLANK('Line finding'!I80),"",'Line finding'!I80))</f>
        <v>2.0000000000000001E-10</v>
      </c>
      <c r="I80" s="5" t="str">
        <f>IF('Line finding'!$B80="","",IF(ISBLANK('Line finding'!J80),"",'Line finding'!J80))</f>
        <v/>
      </c>
    </row>
    <row r="81" spans="1:9" x14ac:dyDescent="0.25">
      <c r="A81" s="5">
        <f>IF('Line finding'!$B81="","",'Line finding'!B81)</f>
        <v>6.5972569999999996E-7</v>
      </c>
      <c r="B81" s="5" t="str">
        <f>IF('Line finding'!$B81="","",IF(ISBLANK('Line finding'!C81),"",'Line finding'!C81))</f>
        <v/>
      </c>
      <c r="C81" s="5" t="str">
        <f>IF('Line finding'!$B81="","",IF(ISBLANK('Line finding'!D81),"",'Line finding'!D81))</f>
        <v>VoigtApparatus</v>
      </c>
      <c r="D81">
        <f>IF('Line finding'!$B81="","",IF(ISBLANK('Line finding'!E81),"",'Line finding'!E81))</f>
        <v>0</v>
      </c>
      <c r="E81" t="str">
        <f>IF('Line finding'!$B81="","",IF(ISBLANK('Line finding'!F81),"",'Line finding'!F81))</f>
        <v/>
      </c>
      <c r="F81" s="3">
        <f>IF('Line finding'!$B81="","",IF(ISBLANK('Line finding'!G81),"",'Line finding'!G81))</f>
        <v>8.9999999999999996E-12</v>
      </c>
      <c r="G81" s="3">
        <f>IF('Line finding'!$B81="","",IF(ISBLANK('Line finding'!H81),"",'Line finding'!H81))</f>
        <v>1.2500000000000001E-10</v>
      </c>
      <c r="H81" s="3">
        <f>IF('Line finding'!$B81="","",IF(ISBLANK('Line finding'!I81),"",'Line finding'!I81))</f>
        <v>2.0000000000000001E-10</v>
      </c>
      <c r="I81" s="5" t="str">
        <f>IF('Line finding'!$B81="","",IF(ISBLANK('Line finding'!J81),"",'Line finding'!J81))</f>
        <v/>
      </c>
    </row>
    <row r="82" spans="1:9" x14ac:dyDescent="0.25">
      <c r="A82" s="5">
        <f>IF('Line finding'!$B82="","",'Line finding'!B82)</f>
        <v>6.5973299999999997E-7</v>
      </c>
      <c r="B82" s="5" t="str">
        <f>IF('Line finding'!$B82="","",IF(ISBLANK('Line finding'!C82),"",'Line finding'!C82))</f>
        <v/>
      </c>
      <c r="C82" s="5" t="str">
        <f>IF('Line finding'!$B82="","",IF(ISBLANK('Line finding'!D82),"",'Line finding'!D82))</f>
        <v>VoigtApparatus</v>
      </c>
      <c r="D82">
        <f>IF('Line finding'!$B82="","",IF(ISBLANK('Line finding'!E82),"",'Line finding'!E82))</f>
        <v>0</v>
      </c>
      <c r="E82" t="str">
        <f>IF('Line finding'!$B82="","",IF(ISBLANK('Line finding'!F82),"",'Line finding'!F82))</f>
        <v/>
      </c>
      <c r="F82" s="3">
        <f>IF('Line finding'!$B82="","",IF(ISBLANK('Line finding'!G82),"",'Line finding'!G82))</f>
        <v>8.9999999999999996E-12</v>
      </c>
      <c r="G82" s="3">
        <f>IF('Line finding'!$B82="","",IF(ISBLANK('Line finding'!H82),"",'Line finding'!H82))</f>
        <v>1.2500000000000001E-10</v>
      </c>
      <c r="H82" s="3">
        <f>IF('Line finding'!$B82="","",IF(ISBLANK('Line finding'!I82),"",'Line finding'!I82))</f>
        <v>2.0000000000000001E-10</v>
      </c>
      <c r="I82" s="5" t="str">
        <f>IF('Line finding'!$B82="","",IF(ISBLANK('Line finding'!J82),"",'Line finding'!J82))</f>
        <v/>
      </c>
    </row>
    <row r="83" spans="1:9" x14ac:dyDescent="0.25">
      <c r="A83" s="5">
        <f>IF('Line finding'!$B83="","",'Line finding'!B83)</f>
        <v>6.5984420000000005E-7</v>
      </c>
      <c r="B83" s="5" t="str">
        <f>IF('Line finding'!$B83="","",IF(ISBLANK('Line finding'!C83),"",'Line finding'!C83))</f>
        <v/>
      </c>
      <c r="C83" s="5" t="str">
        <f>IF('Line finding'!$B83="","",IF(ISBLANK('Line finding'!D83),"",'Line finding'!D83))</f>
        <v>VoigtApparatus</v>
      </c>
      <c r="D83">
        <f>IF('Line finding'!$B83="","",IF(ISBLANK('Line finding'!E83),"",'Line finding'!E83))</f>
        <v>0</v>
      </c>
      <c r="E83" t="str">
        <f>IF('Line finding'!$B83="","",IF(ISBLANK('Line finding'!F83),"",'Line finding'!F83))</f>
        <v/>
      </c>
      <c r="F83" s="3">
        <f>IF('Line finding'!$B83="","",IF(ISBLANK('Line finding'!G83),"",'Line finding'!G83))</f>
        <v>8.9999999999999996E-12</v>
      </c>
      <c r="G83" s="3">
        <f>IF('Line finding'!$B83="","",IF(ISBLANK('Line finding'!H83),"",'Line finding'!H83))</f>
        <v>1.2500000000000001E-10</v>
      </c>
      <c r="H83" s="3">
        <f>IF('Line finding'!$B83="","",IF(ISBLANK('Line finding'!I83),"",'Line finding'!I83))</f>
        <v>2.0000000000000001E-10</v>
      </c>
      <c r="I83" s="5" t="str">
        <f>IF('Line finding'!$B83="","",IF(ISBLANK('Line finding'!J83),"",'Line finding'!J83))</f>
        <v/>
      </c>
    </row>
    <row r="84" spans="1:9" x14ac:dyDescent="0.25">
      <c r="A84" s="5">
        <f>IF('Line finding'!$B84="","",'Line finding'!B84)</f>
        <v>6.5986159999999996E-7</v>
      </c>
      <c r="B84" s="5" t="str">
        <f>IF('Line finding'!$B84="","",IF(ISBLANK('Line finding'!C84),"",'Line finding'!C84))</f>
        <v/>
      </c>
      <c r="C84" s="5" t="str">
        <f>IF('Line finding'!$B84="","",IF(ISBLANK('Line finding'!D84),"",'Line finding'!D84))</f>
        <v>VoigtApparatus</v>
      </c>
      <c r="D84">
        <f>IF('Line finding'!$B84="","",IF(ISBLANK('Line finding'!E84),"",'Line finding'!E84))</f>
        <v>1</v>
      </c>
      <c r="E84" t="str">
        <f>IF('Line finding'!$B84="","",IF(ISBLANK('Line finding'!F84),"",'Line finding'!F84))</f>
        <v/>
      </c>
      <c r="F84" s="3">
        <f>IF('Line finding'!$B84="","",IF(ISBLANK('Line finding'!G84),"",'Line finding'!G84))</f>
        <v>8.9999999999999996E-12</v>
      </c>
      <c r="G84" s="3">
        <f>IF('Line finding'!$B84="","",IF(ISBLANK('Line finding'!H84),"",'Line finding'!H84))</f>
        <v>1.2500000000000001E-10</v>
      </c>
      <c r="H84" s="3">
        <f>IF('Line finding'!$B84="","",IF(ISBLANK('Line finding'!I84),"",'Line finding'!I84))</f>
        <v>2.0000000000000001E-10</v>
      </c>
      <c r="I84" s="5" t="str">
        <f>IF('Line finding'!$B84="","",IF(ISBLANK('Line finding'!J84),"",'Line finding'!J84))</f>
        <v/>
      </c>
    </row>
    <row r="85" spans="1:9" x14ac:dyDescent="0.25">
      <c r="A85" s="5">
        <f>IF('Line finding'!$B85="","",'Line finding'!B85)</f>
        <v>6.5998579999999998E-7</v>
      </c>
      <c r="B85" s="5" t="str">
        <f>IF('Line finding'!$B85="","",IF(ISBLANK('Line finding'!C85),"",'Line finding'!C85))</f>
        <v/>
      </c>
      <c r="C85" s="5" t="str">
        <f>IF('Line finding'!$B85="","",IF(ISBLANK('Line finding'!D85),"",'Line finding'!D85))</f>
        <v>VoigtApparatus</v>
      </c>
      <c r="D85">
        <f>IF('Line finding'!$B85="","",IF(ISBLANK('Line finding'!E85),"",'Line finding'!E85))</f>
        <v>0</v>
      </c>
      <c r="E85" t="str">
        <f>IF('Line finding'!$B85="","",IF(ISBLANK('Line finding'!F85),"",'Line finding'!F85))</f>
        <v/>
      </c>
      <c r="F85" s="3">
        <f>IF('Line finding'!$B85="","",IF(ISBLANK('Line finding'!G85),"",'Line finding'!G85))</f>
        <v>8.9999999999999996E-12</v>
      </c>
      <c r="G85" s="3">
        <f>IF('Line finding'!$B85="","",IF(ISBLANK('Line finding'!H85),"",'Line finding'!H85))</f>
        <v>1.2500000000000001E-10</v>
      </c>
      <c r="H85" s="3">
        <f>IF('Line finding'!$B85="","",IF(ISBLANK('Line finding'!I85),"",'Line finding'!I85))</f>
        <v>2.0000000000000001E-10</v>
      </c>
      <c r="I85" s="5" t="str">
        <f>IF('Line finding'!$B85="","",IF(ISBLANK('Line finding'!J85),"",'Line finding'!J85))</f>
        <v/>
      </c>
    </row>
    <row r="86" spans="1:9" x14ac:dyDescent="0.25">
      <c r="A86" s="5">
        <f>IF('Line finding'!$B86="","",'Line finding'!B86)</f>
        <v>6.6000470000000014E-7</v>
      </c>
      <c r="B86" s="5" t="str">
        <f>IF('Line finding'!$B86="","",IF(ISBLANK('Line finding'!C86),"",'Line finding'!C86))</f>
        <v/>
      </c>
      <c r="C86" s="5" t="str">
        <f>IF('Line finding'!$B86="","",IF(ISBLANK('Line finding'!D86),"",'Line finding'!D86))</f>
        <v>VoigtApparatus</v>
      </c>
      <c r="D86">
        <f>IF('Line finding'!$B86="","",IF(ISBLANK('Line finding'!E86),"",'Line finding'!E86))</f>
        <v>0</v>
      </c>
      <c r="E86" t="str">
        <f>IF('Line finding'!$B86="","",IF(ISBLANK('Line finding'!F86),"",'Line finding'!F86))</f>
        <v/>
      </c>
      <c r="F86" s="3">
        <f>IF('Line finding'!$B86="","",IF(ISBLANK('Line finding'!G86),"",'Line finding'!G86))</f>
        <v>8.9999999999999996E-12</v>
      </c>
      <c r="G86" s="3">
        <f>IF('Line finding'!$B86="","",IF(ISBLANK('Line finding'!H86),"",'Line finding'!H86))</f>
        <v>1.2500000000000001E-10</v>
      </c>
      <c r="H86" s="3">
        <f>IF('Line finding'!$B86="","",IF(ISBLANK('Line finding'!I86),"",'Line finding'!I86))</f>
        <v>2.0000000000000001E-10</v>
      </c>
      <c r="I86" s="5" t="str">
        <f>IF('Line finding'!$B86="","",IF(ISBLANK('Line finding'!J86),"",'Line finding'!J86))</f>
        <v/>
      </c>
    </row>
    <row r="87" spans="1:9" x14ac:dyDescent="0.25">
      <c r="A87" s="5">
        <f>IF('Line finding'!$B87="","",'Line finding'!B87)</f>
        <v>6.6004390000000004E-7</v>
      </c>
      <c r="B87" s="5" t="str">
        <f>IF('Line finding'!$B87="","",IF(ISBLANK('Line finding'!C87),"",'Line finding'!C87))</f>
        <v/>
      </c>
      <c r="C87" s="5" t="str">
        <f>IF('Line finding'!$B87="","",IF(ISBLANK('Line finding'!D87),"",'Line finding'!D87))</f>
        <v>VoigtApparatus</v>
      </c>
      <c r="D87">
        <f>IF('Line finding'!$B87="","",IF(ISBLANK('Line finding'!E87),"",'Line finding'!E87))</f>
        <v>0</v>
      </c>
      <c r="E87" t="str">
        <f>IF('Line finding'!$B87="","",IF(ISBLANK('Line finding'!F87),"",'Line finding'!F87))</f>
        <v/>
      </c>
      <c r="F87" s="3">
        <f>IF('Line finding'!$B87="","",IF(ISBLANK('Line finding'!G87),"",'Line finding'!G87))</f>
        <v>8.9999999999999996E-12</v>
      </c>
      <c r="G87" s="3">
        <f>IF('Line finding'!$B87="","",IF(ISBLANK('Line finding'!H87),"",'Line finding'!H87))</f>
        <v>1.2500000000000001E-10</v>
      </c>
      <c r="H87" s="3">
        <f>IF('Line finding'!$B87="","",IF(ISBLANK('Line finding'!I87),"",'Line finding'!I87))</f>
        <v>2.0000000000000001E-10</v>
      </c>
      <c r="I87" s="5" t="str">
        <f>IF('Line finding'!$B87="","",IF(ISBLANK('Line finding'!J87),"",'Line finding'!J87))</f>
        <v/>
      </c>
    </row>
    <row r="88" spans="1:9" x14ac:dyDescent="0.25">
      <c r="A88" s="5">
        <f>IF('Line finding'!$B88="","",'Line finding'!B88)</f>
        <v>6.6012560000000015E-7</v>
      </c>
      <c r="B88" s="5" t="str">
        <f>IF('Line finding'!$B88="","",IF(ISBLANK('Line finding'!C88),"",'Line finding'!C88))</f>
        <v/>
      </c>
      <c r="C88" s="5" t="str">
        <f>IF('Line finding'!$B88="","",IF(ISBLANK('Line finding'!D88),"",'Line finding'!D88))</f>
        <v>VoigtApparatus</v>
      </c>
      <c r="D88">
        <f>IF('Line finding'!$B88="","",IF(ISBLANK('Line finding'!E88),"",'Line finding'!E88))</f>
        <v>0</v>
      </c>
      <c r="E88" t="str">
        <f>IF('Line finding'!$B88="","",IF(ISBLANK('Line finding'!F88),"",'Line finding'!F88))</f>
        <v/>
      </c>
      <c r="F88" s="3">
        <f>IF('Line finding'!$B88="","",IF(ISBLANK('Line finding'!G88),"",'Line finding'!G88))</f>
        <v>8.9999999999999996E-12</v>
      </c>
      <c r="G88" s="3">
        <f>IF('Line finding'!$B88="","",IF(ISBLANK('Line finding'!H88),"",'Line finding'!H88))</f>
        <v>1.2500000000000001E-10</v>
      </c>
      <c r="H88" s="3">
        <f>IF('Line finding'!$B88="","",IF(ISBLANK('Line finding'!I88),"",'Line finding'!I88))</f>
        <v>2.0000000000000001E-10</v>
      </c>
      <c r="I88" s="5" t="str">
        <f>IF('Line finding'!$B88="","",IF(ISBLANK('Line finding'!J88),"",'Line finding'!J88))</f>
        <v/>
      </c>
    </row>
    <row r="89" spans="1:9" x14ac:dyDescent="0.25">
      <c r="A89" s="5">
        <f>IF('Line finding'!$B89="","",'Line finding'!B89)</f>
        <v>6.6022379999999999E-7</v>
      </c>
      <c r="B89" s="5" t="str">
        <f>IF('Line finding'!$B89="","",IF(ISBLANK('Line finding'!C89),"",'Line finding'!C89))</f>
        <v/>
      </c>
      <c r="C89" s="5" t="str">
        <f>IF('Line finding'!$B89="","",IF(ISBLANK('Line finding'!D89),"",'Line finding'!D89))</f>
        <v>VoigtApparatus</v>
      </c>
      <c r="D89">
        <f>IF('Line finding'!$B89="","",IF(ISBLANK('Line finding'!E89),"",'Line finding'!E89))</f>
        <v>0</v>
      </c>
      <c r="E89" t="str">
        <f>IF('Line finding'!$B89="","",IF(ISBLANK('Line finding'!F89),"",'Line finding'!F89))</f>
        <v/>
      </c>
      <c r="F89" s="3">
        <f>IF('Line finding'!$B89="","",IF(ISBLANK('Line finding'!G89),"",'Line finding'!G89))</f>
        <v>8.9999999999999996E-12</v>
      </c>
      <c r="G89" s="3">
        <f>IF('Line finding'!$B89="","",IF(ISBLANK('Line finding'!H89),"",'Line finding'!H89))</f>
        <v>1.2500000000000001E-10</v>
      </c>
      <c r="H89" s="3">
        <f>IF('Line finding'!$B89="","",IF(ISBLANK('Line finding'!I89),"",'Line finding'!I89))</f>
        <v>2.0000000000000001E-10</v>
      </c>
      <c r="I89" s="5" t="str">
        <f>IF('Line finding'!$B89="","",IF(ISBLANK('Line finding'!J89),"",'Line finding'!J89))</f>
        <v/>
      </c>
    </row>
    <row r="90" spans="1:9" x14ac:dyDescent="0.25">
      <c r="A90" s="5">
        <f>IF('Line finding'!$B90="","",'Line finding'!B90)</f>
        <v>6.6034629999999998E-7</v>
      </c>
      <c r="B90" s="5" t="str">
        <f>IF('Line finding'!$B90="","",IF(ISBLANK('Line finding'!C90),"",'Line finding'!C90))</f>
        <v/>
      </c>
      <c r="C90" s="5" t="str">
        <f>IF('Line finding'!$B90="","",IF(ISBLANK('Line finding'!D90),"",'Line finding'!D90))</f>
        <v>VoigtApparatus</v>
      </c>
      <c r="D90">
        <f>IF('Line finding'!$B90="","",IF(ISBLANK('Line finding'!E90),"",'Line finding'!E90))</f>
        <v>0</v>
      </c>
      <c r="E90" t="str">
        <f>IF('Line finding'!$B90="","",IF(ISBLANK('Line finding'!F90),"",'Line finding'!F90))</f>
        <v/>
      </c>
      <c r="F90" s="3">
        <f>IF('Line finding'!$B90="","",IF(ISBLANK('Line finding'!G90),"",'Line finding'!G90))</f>
        <v>8.9999999999999996E-12</v>
      </c>
      <c r="G90" s="3">
        <f>IF('Line finding'!$B90="","",IF(ISBLANK('Line finding'!H90),"",'Line finding'!H90))</f>
        <v>1.2500000000000001E-10</v>
      </c>
      <c r="H90" s="3">
        <f>IF('Line finding'!$B90="","",IF(ISBLANK('Line finding'!I90),"",'Line finding'!I90))</f>
        <v>2.0000000000000001E-10</v>
      </c>
      <c r="I90" s="5" t="str">
        <f>IF('Line finding'!$B90="","",IF(ISBLANK('Line finding'!J90),"",'Line finding'!J90))</f>
        <v/>
      </c>
    </row>
    <row r="91" spans="1:9" x14ac:dyDescent="0.25">
      <c r="A91" s="5">
        <f>IF('Line finding'!$B91="","",'Line finding'!B91)</f>
        <v>6.6044140000000011E-7</v>
      </c>
      <c r="B91" s="5" t="str">
        <f>IF('Line finding'!$B91="","",IF(ISBLANK('Line finding'!C91),"",'Line finding'!C91))</f>
        <v/>
      </c>
      <c r="C91" s="5" t="str">
        <f>IF('Line finding'!$B91="","",IF(ISBLANK('Line finding'!D91),"",'Line finding'!D91))</f>
        <v>VoigtApparatus</v>
      </c>
      <c r="D91">
        <f>IF('Line finding'!$B91="","",IF(ISBLANK('Line finding'!E91),"",'Line finding'!E91))</f>
        <v>0</v>
      </c>
      <c r="E91" t="str">
        <f>IF('Line finding'!$B91="","",IF(ISBLANK('Line finding'!F91),"",'Line finding'!F91))</f>
        <v/>
      </c>
      <c r="F91" s="3">
        <f>IF('Line finding'!$B91="","",IF(ISBLANK('Line finding'!G91),"",'Line finding'!G91))</f>
        <v>8.9999999999999996E-12</v>
      </c>
      <c r="G91" s="3">
        <f>IF('Line finding'!$B91="","",IF(ISBLANK('Line finding'!H91),"",'Line finding'!H91))</f>
        <v>1.2500000000000001E-10</v>
      </c>
      <c r="H91" s="3">
        <f>IF('Line finding'!$B91="","",IF(ISBLANK('Line finding'!I91),"",'Line finding'!I91))</f>
        <v>2.0000000000000001E-10</v>
      </c>
      <c r="I91" s="5" t="str">
        <f>IF('Line finding'!$B91="","",IF(ISBLANK('Line finding'!J91),"",'Line finding'!J91))</f>
        <v/>
      </c>
    </row>
    <row r="92" spans="1:9" x14ac:dyDescent="0.25">
      <c r="A92" s="5">
        <f>IF('Line finding'!$B92="","",'Line finding'!B92)</f>
        <v>6.6051190000000015E-7</v>
      </c>
      <c r="B92" s="5" t="str">
        <f>IF('Line finding'!$B92="","",IF(ISBLANK('Line finding'!C92),"",'Line finding'!C92))</f>
        <v/>
      </c>
      <c r="C92" s="5" t="str">
        <f>IF('Line finding'!$B92="","",IF(ISBLANK('Line finding'!D92),"",'Line finding'!D92))</f>
        <v>VoigtApparatus</v>
      </c>
      <c r="D92">
        <f>IF('Line finding'!$B92="","",IF(ISBLANK('Line finding'!E92),"",'Line finding'!E92))</f>
        <v>0</v>
      </c>
      <c r="E92" t="str">
        <f>IF('Line finding'!$B92="","",IF(ISBLANK('Line finding'!F92),"",'Line finding'!F92))</f>
        <v/>
      </c>
      <c r="F92" s="3">
        <f>IF('Line finding'!$B92="","",IF(ISBLANK('Line finding'!G92),"",'Line finding'!G92))</f>
        <v>8.9999999999999996E-12</v>
      </c>
      <c r="G92" s="3">
        <f>IF('Line finding'!$B92="","",IF(ISBLANK('Line finding'!H92),"",'Line finding'!H92))</f>
        <v>1.2500000000000001E-10</v>
      </c>
      <c r="H92" s="3">
        <f>IF('Line finding'!$B92="","",IF(ISBLANK('Line finding'!I92),"",'Line finding'!I92))</f>
        <v>2.0000000000000001E-10</v>
      </c>
      <c r="I92" s="5" t="str">
        <f>IF('Line finding'!$B92="","",IF(ISBLANK('Line finding'!J92),"",'Line finding'!J92))</f>
        <v/>
      </c>
    </row>
    <row r="93" spans="1:9" x14ac:dyDescent="0.25">
      <c r="A93" s="5">
        <f>IF('Line finding'!$B93="","",'Line finding'!B93)</f>
        <v>6.6065070000000008E-7</v>
      </c>
      <c r="B93" s="5" t="str">
        <f>IF('Line finding'!$B93="","",IF(ISBLANK('Line finding'!C93),"",'Line finding'!C93))</f>
        <v/>
      </c>
      <c r="C93" s="5" t="str">
        <f>IF('Line finding'!$B93="","",IF(ISBLANK('Line finding'!D93),"",'Line finding'!D93))</f>
        <v>VoigtApparatus</v>
      </c>
      <c r="D93">
        <f>IF('Line finding'!$B93="","",IF(ISBLANK('Line finding'!E93),"",'Line finding'!E93))</f>
        <v>0</v>
      </c>
      <c r="E93" t="str">
        <f>IF('Line finding'!$B93="","",IF(ISBLANK('Line finding'!F93),"",'Line finding'!F93))</f>
        <v/>
      </c>
      <c r="F93" s="3">
        <f>IF('Line finding'!$B93="","",IF(ISBLANK('Line finding'!G93),"",'Line finding'!G93))</f>
        <v>8.9999999999999996E-12</v>
      </c>
      <c r="G93" s="3">
        <f>IF('Line finding'!$B93="","",IF(ISBLANK('Line finding'!H93),"",'Line finding'!H93))</f>
        <v>1.2500000000000001E-10</v>
      </c>
      <c r="H93" s="3">
        <f>IF('Line finding'!$B93="","",IF(ISBLANK('Line finding'!I93),"",'Line finding'!I93))</f>
        <v>2.0000000000000001E-10</v>
      </c>
      <c r="I93" s="5" t="str">
        <f>IF('Line finding'!$B93="","",IF(ISBLANK('Line finding'!J93),"",'Line finding'!J93))</f>
        <v/>
      </c>
    </row>
    <row r="94" spans="1:9" x14ac:dyDescent="0.25">
      <c r="A94" s="5">
        <f>IF('Line finding'!$B94="","",'Line finding'!B94)</f>
        <v>6.6071709999999997E-7</v>
      </c>
      <c r="B94" s="5" t="str">
        <f>IF('Line finding'!$B94="","",IF(ISBLANK('Line finding'!C94),"",'Line finding'!C94))</f>
        <v/>
      </c>
      <c r="C94" s="5" t="str">
        <f>IF('Line finding'!$B94="","",IF(ISBLANK('Line finding'!D94),"",'Line finding'!D94))</f>
        <v>VoigtApparatus</v>
      </c>
      <c r="D94">
        <f>IF('Line finding'!$B94="","",IF(ISBLANK('Line finding'!E94),"",'Line finding'!E94))</f>
        <v>1</v>
      </c>
      <c r="E94" t="str">
        <f>IF('Line finding'!$B94="","",IF(ISBLANK('Line finding'!F94),"",'Line finding'!F94))</f>
        <v/>
      </c>
      <c r="F94" s="3">
        <f>IF('Line finding'!$B94="","",IF(ISBLANK('Line finding'!G94),"",'Line finding'!G94))</f>
        <v>8.9999999999999996E-12</v>
      </c>
      <c r="G94" s="3">
        <f>IF('Line finding'!$B94="","",IF(ISBLANK('Line finding'!H94),"",'Line finding'!H94))</f>
        <v>1.2500000000000001E-10</v>
      </c>
      <c r="H94" s="3">
        <f>IF('Line finding'!$B94="","",IF(ISBLANK('Line finding'!I94),"",'Line finding'!I94))</f>
        <v>2.0000000000000001E-10</v>
      </c>
      <c r="I94" s="5" t="str">
        <f>IF('Line finding'!$B94="","",IF(ISBLANK('Line finding'!J94),"",'Line finding'!J94))</f>
        <v/>
      </c>
    </row>
    <row r="95" spans="1:9" x14ac:dyDescent="0.25">
      <c r="A95" s="5">
        <f>IF('Line finding'!$B95="","",'Line finding'!B95)</f>
        <v>6.608249E-7</v>
      </c>
      <c r="B95" s="5" t="str">
        <f>IF('Line finding'!$B95="","",IF(ISBLANK('Line finding'!C95),"",'Line finding'!C95))</f>
        <v/>
      </c>
      <c r="C95" s="5" t="str">
        <f>IF('Line finding'!$B95="","",IF(ISBLANK('Line finding'!D95),"",'Line finding'!D95))</f>
        <v>VoigtApparatus</v>
      </c>
      <c r="D95">
        <f>IF('Line finding'!$B95="","",IF(ISBLANK('Line finding'!E95),"",'Line finding'!E95))</f>
        <v>0</v>
      </c>
      <c r="E95" t="str">
        <f>IF('Line finding'!$B95="","",IF(ISBLANK('Line finding'!F95),"",'Line finding'!F95))</f>
        <v/>
      </c>
      <c r="F95" s="3">
        <f>IF('Line finding'!$B95="","",IF(ISBLANK('Line finding'!G95),"",'Line finding'!G95))</f>
        <v>8.9999999999999996E-12</v>
      </c>
      <c r="G95" s="3">
        <f>IF('Line finding'!$B95="","",IF(ISBLANK('Line finding'!H95),"",'Line finding'!H95))</f>
        <v>1.2500000000000001E-10</v>
      </c>
      <c r="H95" s="3">
        <f>IF('Line finding'!$B95="","",IF(ISBLANK('Line finding'!I95),"",'Line finding'!I95))</f>
        <v>2.0000000000000001E-10</v>
      </c>
      <c r="I95" s="5" t="str">
        <f>IF('Line finding'!$B95="","",IF(ISBLANK('Line finding'!J95),"",'Line finding'!J95))</f>
        <v/>
      </c>
    </row>
    <row r="96" spans="1:9" x14ac:dyDescent="0.25">
      <c r="A96" s="5">
        <f>IF('Line finding'!$B96="","",'Line finding'!B96)</f>
        <v>6.6084890000000013E-7</v>
      </c>
      <c r="B96" s="5" t="str">
        <f>IF('Line finding'!$B96="","",IF(ISBLANK('Line finding'!C96),"",'Line finding'!C96))</f>
        <v/>
      </c>
      <c r="C96" s="5" t="str">
        <f>IF('Line finding'!$B96="","",IF(ISBLANK('Line finding'!D96),"",'Line finding'!D96))</f>
        <v>VoigtApparatus</v>
      </c>
      <c r="D96">
        <f>IF('Line finding'!$B96="","",IF(ISBLANK('Line finding'!E96),"",'Line finding'!E96))</f>
        <v>1</v>
      </c>
      <c r="E96" t="str">
        <f>IF('Line finding'!$B96="","",IF(ISBLANK('Line finding'!F96),"",'Line finding'!F96))</f>
        <v/>
      </c>
      <c r="F96" s="3">
        <f>IF('Line finding'!$B96="","",IF(ISBLANK('Line finding'!G96),"",'Line finding'!G96))</f>
        <v>8.9999999999999996E-12</v>
      </c>
      <c r="G96" s="3">
        <f>IF('Line finding'!$B96="","",IF(ISBLANK('Line finding'!H96),"",'Line finding'!H96))</f>
        <v>1.2500000000000001E-10</v>
      </c>
      <c r="H96" s="3">
        <f>IF('Line finding'!$B96="","",IF(ISBLANK('Line finding'!I96),"",'Line finding'!I96))</f>
        <v>2.0000000000000001E-10</v>
      </c>
      <c r="I96" s="5" t="str">
        <f>IF('Line finding'!$B96="","",IF(ISBLANK('Line finding'!J96),"",'Line finding'!J96))</f>
        <v/>
      </c>
    </row>
    <row r="97" spans="1:9" x14ac:dyDescent="0.25">
      <c r="A97" s="5">
        <f>IF('Line finding'!$B97="","",'Line finding'!B97)</f>
        <v>6.6090300000000008E-7</v>
      </c>
      <c r="B97" s="5" t="str">
        <f>IF('Line finding'!$B97="","",IF(ISBLANK('Line finding'!C97),"",'Line finding'!C97))</f>
        <v>W1</v>
      </c>
      <c r="C97" s="5" t="str">
        <f>IF('Line finding'!$B97="","",IF(ISBLANK('Line finding'!D97),"",'Line finding'!D97))</f>
        <v>VoigtApparatus</v>
      </c>
      <c r="D97">
        <f>IF('Line finding'!$B97="","",IF(ISBLANK('Line finding'!E97),"",'Line finding'!E97))</f>
        <v>1</v>
      </c>
      <c r="E97" t="str">
        <f>IF('Line finding'!$B97="","",IF(ISBLANK('Line finding'!F97),"",'Line finding'!F97))</f>
        <v/>
      </c>
      <c r="F97" s="3">
        <f>IF('Line finding'!$B97="","",IF(ISBLANK('Line finding'!G97),"",'Line finding'!G97))</f>
        <v>8.9999999999999996E-12</v>
      </c>
      <c r="G97" s="3">
        <f>IF('Line finding'!$B97="","",IF(ISBLANK('Line finding'!H97),"",'Line finding'!H97))</f>
        <v>1.2500000000000001E-10</v>
      </c>
      <c r="H97" s="3">
        <f>IF('Line finding'!$B97="","",IF(ISBLANK('Line finding'!I97),"",'Line finding'!I97))</f>
        <v>3E-10</v>
      </c>
      <c r="I97" s="5" t="str">
        <f>IF('Line finding'!$B97="","",IF(ISBLANK('Line finding'!J97),"",'Line finding'!J97))</f>
        <v>shape = $W1_width_var</v>
      </c>
    </row>
    <row r="98" spans="1:9" x14ac:dyDescent="0.25">
      <c r="A98" s="5">
        <f>IF('Line finding'!$B98="","",'Line finding'!B98)</f>
        <v>6.6094269999999999E-7</v>
      </c>
      <c r="B98" s="5" t="str">
        <f>IF('Line finding'!$B98="","",IF(ISBLANK('Line finding'!C98),"",'Line finding'!C98))</f>
        <v/>
      </c>
      <c r="C98" s="5" t="str">
        <f>IF('Line finding'!$B98="","",IF(ISBLANK('Line finding'!D98),"",'Line finding'!D98))</f>
        <v>VoigtApparatus</v>
      </c>
      <c r="D98">
        <f>IF('Line finding'!$B98="","",IF(ISBLANK('Line finding'!E98),"",'Line finding'!E98))</f>
        <v>0</v>
      </c>
      <c r="E98" t="str">
        <f>IF('Line finding'!$B98="","",IF(ISBLANK('Line finding'!F98),"",'Line finding'!F98))</f>
        <v/>
      </c>
      <c r="F98" s="3">
        <f>IF('Line finding'!$B98="","",IF(ISBLANK('Line finding'!G98),"",'Line finding'!G98))</f>
        <v>8.9999999999999996E-12</v>
      </c>
      <c r="G98" s="3">
        <f>IF('Line finding'!$B98="","",IF(ISBLANK('Line finding'!H98),"",'Line finding'!H98))</f>
        <v>1.2500000000000001E-10</v>
      </c>
      <c r="H98" s="3">
        <f>IF('Line finding'!$B98="","",IF(ISBLANK('Line finding'!I98),"",'Line finding'!I98))</f>
        <v>2.0000000000000001E-10</v>
      </c>
      <c r="I98" s="5" t="str">
        <f>IF('Line finding'!$B98="","",IF(ISBLANK('Line finding'!J98),"",'Line finding'!J98))</f>
        <v/>
      </c>
    </row>
    <row r="99" spans="1:9" x14ac:dyDescent="0.25">
      <c r="A99" s="5" t="str">
        <f>IF('Line finding'!$B99="","",'Line finding'!B99)</f>
        <v/>
      </c>
      <c r="B99" s="5" t="str">
        <f>IF('Line finding'!$B99="","",IF(ISBLANK('Line finding'!C99),"",'Line finding'!C99))</f>
        <v/>
      </c>
      <c r="C99" s="5" t="str">
        <f>IF('Line finding'!$B99="","",IF(ISBLANK('Line finding'!D99),"",'Line finding'!D99))</f>
        <v/>
      </c>
      <c r="D99" t="str">
        <f>IF('Line finding'!$B99="","",IF(ISBLANK('Line finding'!E99),"",'Line finding'!E99))</f>
        <v/>
      </c>
      <c r="E99" t="str">
        <f>IF('Line finding'!$B99="","",IF(ISBLANK('Line finding'!F99),"",'Line finding'!F99))</f>
        <v/>
      </c>
      <c r="F99" s="3" t="str">
        <f>IF('Line finding'!$B99="","",IF(ISBLANK('Line finding'!G99),"",'Line finding'!G99))</f>
        <v/>
      </c>
      <c r="G99" s="3" t="str">
        <f>IF('Line finding'!$B99="","",IF(ISBLANK('Line finding'!H99),"",'Line finding'!H99))</f>
        <v/>
      </c>
      <c r="H99" s="3" t="str">
        <f>IF('Line finding'!$B99="","",IF(ISBLANK('Line finding'!I99),"",'Line finding'!I99))</f>
        <v/>
      </c>
      <c r="I99" s="5" t="str">
        <f>IF('Line finding'!$B99="","",IF(ISBLANK('Line finding'!J99),"",'Line finding'!J99))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finding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Ristkok</dc:creator>
  <cp:lastModifiedBy>Jasper Ristkok</cp:lastModifiedBy>
  <dcterms:created xsi:type="dcterms:W3CDTF">2024-01-06T14:33:32Z</dcterms:created>
  <dcterms:modified xsi:type="dcterms:W3CDTF">2025-07-18T15:07:44Z</dcterms:modified>
</cp:coreProperties>
</file>